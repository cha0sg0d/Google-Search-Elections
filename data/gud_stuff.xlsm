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8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nthonygoss/Projects/Trends/new good data/"/>
    </mc:Choice>
  </mc:AlternateContent>
  <xr:revisionPtr revIDLastSave="0" documentId="13_ncr:40009_{F7272931-2DE8-B44C-B502-8C2FB7C9EB36}" xr6:coauthVersionLast="44" xr6:coauthVersionMax="44" xr10:uidLastSave="{00000000-0000-0000-0000-000000000000}"/>
  <bookViews>
    <workbookView xWindow="360" yWindow="480" windowWidth="28040" windowHeight="16260" activeTab="5"/>
  </bookViews>
  <sheets>
    <sheet name="clinton-trump-2016" sheetId="2" r:id="rId1"/>
    <sheet name="obama-romney-2012" sheetId="1" r:id="rId2"/>
    <sheet name="obama-mccain-2008" sheetId="3" r:id="rId3"/>
    <sheet name="kerry-bush-2004" sheetId="4" r:id="rId4"/>
    <sheet name="cumulative" sheetId="5" r:id="rId5"/>
    <sheet name="bigtable" sheetId="7" r:id="rId6"/>
    <sheet name="natl_avg" sheetId="6" r:id="rId7"/>
  </sheets>
  <calcPr calcId="0"/>
</workbook>
</file>

<file path=xl/calcChain.xml><?xml version="1.0" encoding="utf-8"?>
<calcChain xmlns="http://schemas.openxmlformats.org/spreadsheetml/2006/main">
  <c r="F205" i="7" l="1"/>
  <c r="F204" i="7"/>
  <c r="F203" i="7"/>
  <c r="F202" i="7"/>
  <c r="F201" i="7"/>
  <c r="F200" i="7"/>
  <c r="F199" i="7"/>
  <c r="F198" i="7"/>
  <c r="F197" i="7"/>
  <c r="F196" i="7"/>
  <c r="F195" i="7"/>
  <c r="F194" i="7"/>
  <c r="F193" i="7"/>
  <c r="F192" i="7"/>
  <c r="F191" i="7"/>
  <c r="F190" i="7"/>
  <c r="F189" i="7"/>
  <c r="F188" i="7"/>
  <c r="F187" i="7"/>
  <c r="F186" i="7"/>
  <c r="F185" i="7"/>
  <c r="F184" i="7"/>
  <c r="F183" i="7"/>
  <c r="F182" i="7"/>
  <c r="F181" i="7"/>
  <c r="F180" i="7"/>
  <c r="F179" i="7"/>
  <c r="F178" i="7"/>
  <c r="F177" i="7"/>
  <c r="F176" i="7"/>
  <c r="F175" i="7"/>
  <c r="F174" i="7"/>
  <c r="F173" i="7"/>
  <c r="F172" i="7"/>
  <c r="F171" i="7"/>
  <c r="F170" i="7"/>
  <c r="F169" i="7"/>
  <c r="F168" i="7"/>
  <c r="F167" i="7"/>
  <c r="F166" i="7"/>
  <c r="F165" i="7"/>
  <c r="F164" i="7"/>
  <c r="F163" i="7"/>
  <c r="F162" i="7"/>
  <c r="F161" i="7"/>
  <c r="F160" i="7"/>
  <c r="F159" i="7"/>
  <c r="F158" i="7"/>
  <c r="F157" i="7"/>
  <c r="F156" i="7"/>
  <c r="F155" i="7"/>
  <c r="F154" i="7"/>
  <c r="F153" i="7"/>
  <c r="F152" i="7"/>
  <c r="F151" i="7"/>
  <c r="F150" i="7"/>
  <c r="F149" i="7"/>
  <c r="F148" i="7"/>
  <c r="F147" i="7"/>
  <c r="F146" i="7"/>
  <c r="F145" i="7"/>
  <c r="F144" i="7"/>
  <c r="F143" i="7"/>
  <c r="F142" i="7"/>
  <c r="F141" i="7"/>
  <c r="F140" i="7"/>
  <c r="F139" i="7"/>
  <c r="F138" i="7"/>
  <c r="F137" i="7"/>
  <c r="F136" i="7"/>
  <c r="F135" i="7"/>
  <c r="F134" i="7"/>
  <c r="F133" i="7"/>
  <c r="F132" i="7"/>
  <c r="F131" i="7"/>
  <c r="F130" i="7"/>
  <c r="F129" i="7"/>
  <c r="F128" i="7"/>
  <c r="F127" i="7"/>
  <c r="F126" i="7"/>
  <c r="F125" i="7"/>
  <c r="F124" i="7"/>
  <c r="F123" i="7"/>
  <c r="F122" i="7"/>
  <c r="F121" i="7"/>
  <c r="F120" i="7"/>
  <c r="F119" i="7"/>
  <c r="F118" i="7"/>
  <c r="F117" i="7"/>
  <c r="F116" i="7"/>
  <c r="F115" i="7"/>
  <c r="F114" i="7"/>
  <c r="F113" i="7"/>
  <c r="F112" i="7"/>
  <c r="F111" i="7"/>
  <c r="F110" i="7"/>
  <c r="F109" i="7"/>
  <c r="F108" i="7"/>
  <c r="F107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F85" i="7"/>
  <c r="F84" i="7"/>
  <c r="F83" i="7"/>
  <c r="F82" i="7"/>
  <c r="F81" i="7"/>
  <c r="F80" i="7"/>
  <c r="F79" i="7"/>
  <c r="F78" i="7"/>
  <c r="F77" i="7"/>
  <c r="F76" i="7"/>
  <c r="F75" i="7"/>
  <c r="F74" i="7"/>
  <c r="F73" i="7"/>
  <c r="F72" i="7"/>
  <c r="F71" i="7"/>
  <c r="F70" i="7"/>
  <c r="F69" i="7"/>
  <c r="F68" i="7"/>
  <c r="F67" i="7"/>
  <c r="F66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F4" i="7"/>
  <c r="F3" i="7"/>
  <c r="E2" i="7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F2" i="7"/>
  <c r="C6" i="6"/>
  <c r="B6" i="6"/>
</calcChain>
</file>

<file path=xl/sharedStrings.xml><?xml version="1.0" encoding="utf-8"?>
<sst xmlns="http://schemas.openxmlformats.org/spreadsheetml/2006/main" count="505" uniqueCount="78">
  <si>
    <t>Utah</t>
  </si>
  <si>
    <t>Ohio</t>
  </si>
  <si>
    <t>Virginia</t>
  </si>
  <si>
    <t>New Hampshire</t>
  </si>
  <si>
    <t>Massachusetts</t>
  </si>
  <si>
    <t>Iowa</t>
  </si>
  <si>
    <t>District of Columbia</t>
  </si>
  <si>
    <t>Rhode Island</t>
  </si>
  <si>
    <t>Idaho</t>
  </si>
  <si>
    <t>Vermont</t>
  </si>
  <si>
    <t>Nevada</t>
  </si>
  <si>
    <t>New Jersey</t>
  </si>
  <si>
    <t>Colorado</t>
  </si>
  <si>
    <t>West Virginia</t>
  </si>
  <si>
    <t>Florida</t>
  </si>
  <si>
    <t>North Carolina</t>
  </si>
  <si>
    <t>Maryland</t>
  </si>
  <si>
    <t>Pennsylvania</t>
  </si>
  <si>
    <t>Kentucky</t>
  </si>
  <si>
    <t>Maine</t>
  </si>
  <si>
    <t>Connecticut</t>
  </si>
  <si>
    <t>Indiana</t>
  </si>
  <si>
    <t>Alabama</t>
  </si>
  <si>
    <t>Kansas</t>
  </si>
  <si>
    <t>Delaware</t>
  </si>
  <si>
    <t>Wisconsin</t>
  </si>
  <si>
    <t>New York</t>
  </si>
  <si>
    <t>Illinois</t>
  </si>
  <si>
    <t>Arizona</t>
  </si>
  <si>
    <t>New Mexico</t>
  </si>
  <si>
    <t>Missouri</t>
  </si>
  <si>
    <t>Oregon</t>
  </si>
  <si>
    <t>Montana</t>
  </si>
  <si>
    <t>Michigan</t>
  </si>
  <si>
    <t>Georgia</t>
  </si>
  <si>
    <t>Arkansas</t>
  </si>
  <si>
    <t>Tennessee</t>
  </si>
  <si>
    <t>Nebraska</t>
  </si>
  <si>
    <t>Mississippi</t>
  </si>
  <si>
    <t>South Carolina</t>
  </si>
  <si>
    <t>Washington</t>
  </si>
  <si>
    <t>Oklahoma</t>
  </si>
  <si>
    <t>Louisiana</t>
  </si>
  <si>
    <t>South Dakota</t>
  </si>
  <si>
    <t>California</t>
  </si>
  <si>
    <t>Wyoming</t>
  </si>
  <si>
    <t>North Dakota</t>
  </si>
  <si>
    <t>Minnesota</t>
  </si>
  <si>
    <t>Texas</t>
  </si>
  <si>
    <t>Alaska</t>
  </si>
  <si>
    <t>Hawaii</t>
  </si>
  <si>
    <t>Natl Avg From Worldwide View:</t>
  </si>
  <si>
    <t>Natl. Avg:</t>
  </si>
  <si>
    <t>Year</t>
  </si>
  <si>
    <t>State</t>
  </si>
  <si>
    <t>Clinton, Hillary - Democratic</t>
  </si>
  <si>
    <t>Trump, Donald - Republican</t>
  </si>
  <si>
    <t>Obama, Barack - Democratic</t>
  </si>
  <si>
    <t>Romney, Mitt - Republican</t>
  </si>
  <si>
    <t>McCain, John - Republican</t>
  </si>
  <si>
    <t>Kerry, John - Democratic</t>
  </si>
  <si>
    <t>Bush, George W. - Republican</t>
  </si>
  <si>
    <t>Gore, Al - Democratic</t>
  </si>
  <si>
    <t>Nationwide</t>
  </si>
  <si>
    <t>Kerry</t>
  </si>
  <si>
    <t>Bush</t>
  </si>
  <si>
    <t>Obama</t>
  </si>
  <si>
    <t>McCain</t>
  </si>
  <si>
    <t>Romney</t>
  </si>
  <si>
    <t>Clinton</t>
  </si>
  <si>
    <t>Trump</t>
  </si>
  <si>
    <t>D Search %</t>
  </si>
  <si>
    <t>R Search %</t>
  </si>
  <si>
    <t>Lag Vote</t>
  </si>
  <si>
    <t>Actual R%</t>
  </si>
  <si>
    <t>R Natl Search % Avg</t>
  </si>
  <si>
    <t>D State/National</t>
  </si>
  <si>
    <t>R State/National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</si>
</sst>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Arial"/>
      <family val="2"/>
    </font>
    <font>
      <sz val="12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9" fontId="0" fillId="0" borderId="0" xfId="0" applyNumberFormat="1"/>
    <xf numFmtId="0" fontId="18" fillId="0" borderId="0" xfId="0" applyFont="1"/>
    <xf numFmtId="0" fontId="19" fillId="0" borderId="0" xfId="0" applyFont="1"/>
    <xf numFmtId="0" fontId="20" fillId="0" borderId="0" xfId="0" applyFont="1"/>
    <xf numFmtId="9" fontId="20" fillId="0" borderId="0" xfId="0" applyNumberFormat="1" applyFont="1"/>
    <xf numFmtId="0" fontId="0" fillId="0" borderId="0" xfId="0" applyNumberFormat="1"/>
    <xf numFmtId="0" fontId="16" fillId="0" borderId="0" xfId="0" applyFont="1"/>
    <xf numFmtId="0" fontId="0" fillId="0" borderId="0" xfId="0" applyNumberFormat="1" applyFont="1"/>
    <xf numFmtId="0" fontId="20" fillId="0" borderId="0" xfId="0" applyNumberFormat="1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4"/>
  <sheetViews>
    <sheetView workbookViewId="0">
      <selection activeCell="A2" sqref="A2:D52"/>
    </sheetView>
  </sheetViews>
  <sheetFormatPr baseColWidth="10" defaultRowHeight="16" x14ac:dyDescent="0.2"/>
  <sheetData>
    <row r="1" spans="1:4" x14ac:dyDescent="0.2">
      <c r="B1" t="s">
        <v>69</v>
      </c>
      <c r="C1" t="s">
        <v>70</v>
      </c>
    </row>
    <row r="2" spans="1:4" x14ac:dyDescent="0.2">
      <c r="A2" t="s">
        <v>22</v>
      </c>
      <c r="B2" s="1">
        <v>0.44</v>
      </c>
      <c r="C2" s="1">
        <v>0.56000000000000005</v>
      </c>
      <c r="D2">
        <v>2016</v>
      </c>
    </row>
    <row r="3" spans="1:4" x14ac:dyDescent="0.2">
      <c r="A3" t="s">
        <v>49</v>
      </c>
      <c r="B3" s="1">
        <v>0.45</v>
      </c>
      <c r="C3" s="1">
        <v>0.55000000000000004</v>
      </c>
      <c r="D3">
        <v>2016</v>
      </c>
    </row>
    <row r="4" spans="1:4" x14ac:dyDescent="0.2">
      <c r="A4" t="s">
        <v>28</v>
      </c>
      <c r="B4" s="1">
        <v>0.43</v>
      </c>
      <c r="C4" s="1">
        <v>0.56999999999999995</v>
      </c>
      <c r="D4">
        <v>2016</v>
      </c>
    </row>
    <row r="5" spans="1:4" x14ac:dyDescent="0.2">
      <c r="A5" t="s">
        <v>35</v>
      </c>
      <c r="B5" s="1">
        <v>0.46</v>
      </c>
      <c r="C5" s="1">
        <v>0.54</v>
      </c>
      <c r="D5">
        <v>2016</v>
      </c>
    </row>
    <row r="6" spans="1:4" x14ac:dyDescent="0.2">
      <c r="A6" t="s">
        <v>44</v>
      </c>
      <c r="B6" s="1">
        <v>0.41</v>
      </c>
      <c r="C6" s="1">
        <v>0.59</v>
      </c>
      <c r="D6">
        <v>2016</v>
      </c>
    </row>
    <row r="7" spans="1:4" x14ac:dyDescent="0.2">
      <c r="A7" t="s">
        <v>12</v>
      </c>
      <c r="B7" s="1">
        <v>0.43</v>
      </c>
      <c r="C7" s="1">
        <v>0.56999999999999995</v>
      </c>
      <c r="D7">
        <v>2016</v>
      </c>
    </row>
    <row r="8" spans="1:4" x14ac:dyDescent="0.2">
      <c r="A8" t="s">
        <v>20</v>
      </c>
      <c r="B8" s="1">
        <v>0.44</v>
      </c>
      <c r="C8" s="1">
        <v>0.56000000000000005</v>
      </c>
      <c r="D8">
        <v>2016</v>
      </c>
    </row>
    <row r="9" spans="1:4" x14ac:dyDescent="0.2">
      <c r="A9" t="s">
        <v>24</v>
      </c>
      <c r="B9" s="1">
        <v>0.41</v>
      </c>
      <c r="C9" s="1">
        <v>0.59</v>
      </c>
      <c r="D9">
        <v>2016</v>
      </c>
    </row>
    <row r="10" spans="1:4" x14ac:dyDescent="0.2">
      <c r="A10" t="s">
        <v>6</v>
      </c>
      <c r="B10" s="1">
        <v>0.44</v>
      </c>
      <c r="C10" s="1">
        <v>0.56000000000000005</v>
      </c>
      <c r="D10">
        <v>2016</v>
      </c>
    </row>
    <row r="11" spans="1:4" x14ac:dyDescent="0.2">
      <c r="A11" t="s">
        <v>14</v>
      </c>
      <c r="B11" s="1">
        <v>0.42</v>
      </c>
      <c r="C11" s="1">
        <v>0.57999999999999996</v>
      </c>
      <c r="D11">
        <v>2016</v>
      </c>
    </row>
    <row r="12" spans="1:4" x14ac:dyDescent="0.2">
      <c r="A12" t="s">
        <v>34</v>
      </c>
      <c r="B12" s="1">
        <v>0.42</v>
      </c>
      <c r="C12" s="1">
        <v>0.57999999999999996</v>
      </c>
      <c r="D12">
        <v>2016</v>
      </c>
    </row>
    <row r="13" spans="1:4" x14ac:dyDescent="0.2">
      <c r="A13" t="s">
        <v>50</v>
      </c>
      <c r="B13" s="1">
        <v>0.42</v>
      </c>
      <c r="C13" s="1">
        <v>0.57999999999999996</v>
      </c>
      <c r="D13">
        <v>2016</v>
      </c>
    </row>
    <row r="14" spans="1:4" x14ac:dyDescent="0.2">
      <c r="A14" t="s">
        <v>8</v>
      </c>
      <c r="B14" s="1">
        <v>0.46</v>
      </c>
      <c r="C14" s="1">
        <v>0.54</v>
      </c>
      <c r="D14">
        <v>2016</v>
      </c>
    </row>
    <row r="15" spans="1:4" x14ac:dyDescent="0.2">
      <c r="A15" t="s">
        <v>27</v>
      </c>
      <c r="B15" s="1">
        <v>0.43</v>
      </c>
      <c r="C15" s="1">
        <v>0.56999999999999995</v>
      </c>
      <c r="D15">
        <v>2016</v>
      </c>
    </row>
    <row r="16" spans="1:4" x14ac:dyDescent="0.2">
      <c r="A16" t="s">
        <v>21</v>
      </c>
      <c r="B16" s="1">
        <v>0.44</v>
      </c>
      <c r="C16" s="1">
        <v>0.56000000000000005</v>
      </c>
      <c r="D16">
        <v>2016</v>
      </c>
    </row>
    <row r="17" spans="1:4" x14ac:dyDescent="0.2">
      <c r="A17" t="s">
        <v>5</v>
      </c>
      <c r="B17" s="1">
        <v>0.44</v>
      </c>
      <c r="C17" s="1">
        <v>0.56000000000000005</v>
      </c>
      <c r="D17">
        <v>2016</v>
      </c>
    </row>
    <row r="18" spans="1:4" x14ac:dyDescent="0.2">
      <c r="A18" t="s">
        <v>23</v>
      </c>
      <c r="B18" s="1">
        <v>0.46</v>
      </c>
      <c r="C18" s="1">
        <v>0.54</v>
      </c>
      <c r="D18">
        <v>2016</v>
      </c>
    </row>
    <row r="19" spans="1:4" x14ac:dyDescent="0.2">
      <c r="A19" t="s">
        <v>18</v>
      </c>
      <c r="B19" s="1">
        <v>0.42</v>
      </c>
      <c r="C19" s="1">
        <v>0.57999999999999996</v>
      </c>
      <c r="D19">
        <v>2016</v>
      </c>
    </row>
    <row r="20" spans="1:4" x14ac:dyDescent="0.2">
      <c r="A20" t="s">
        <v>42</v>
      </c>
      <c r="B20" s="1">
        <v>0.43</v>
      </c>
      <c r="C20" s="1">
        <v>0.56999999999999995</v>
      </c>
      <c r="D20">
        <v>2016</v>
      </c>
    </row>
    <row r="21" spans="1:4" x14ac:dyDescent="0.2">
      <c r="A21" t="s">
        <v>19</v>
      </c>
      <c r="B21" s="1">
        <v>0.45</v>
      </c>
      <c r="C21" s="1">
        <v>0.55000000000000004</v>
      </c>
      <c r="D21">
        <v>2016</v>
      </c>
    </row>
    <row r="22" spans="1:4" x14ac:dyDescent="0.2">
      <c r="A22" t="s">
        <v>16</v>
      </c>
      <c r="B22" s="1">
        <v>0.42</v>
      </c>
      <c r="C22" s="1">
        <v>0.57999999999999996</v>
      </c>
      <c r="D22">
        <v>2016</v>
      </c>
    </row>
    <row r="23" spans="1:4" x14ac:dyDescent="0.2">
      <c r="A23" t="s">
        <v>4</v>
      </c>
      <c r="B23" s="1">
        <v>0.43</v>
      </c>
      <c r="C23" s="1">
        <v>0.56999999999999995</v>
      </c>
      <c r="D23">
        <v>2016</v>
      </c>
    </row>
    <row r="24" spans="1:4" x14ac:dyDescent="0.2">
      <c r="A24" t="s">
        <v>33</v>
      </c>
      <c r="B24" s="1">
        <v>0.44</v>
      </c>
      <c r="C24" s="1">
        <v>0.56000000000000005</v>
      </c>
      <c r="D24">
        <v>2016</v>
      </c>
    </row>
    <row r="25" spans="1:4" x14ac:dyDescent="0.2">
      <c r="A25" t="s">
        <v>47</v>
      </c>
      <c r="B25" s="1">
        <v>0.43</v>
      </c>
      <c r="C25" s="1">
        <v>0.56999999999999995</v>
      </c>
      <c r="D25">
        <v>2016</v>
      </c>
    </row>
    <row r="26" spans="1:4" x14ac:dyDescent="0.2">
      <c r="A26" t="s">
        <v>38</v>
      </c>
      <c r="B26" s="1">
        <v>0.44</v>
      </c>
      <c r="C26" s="1">
        <v>0.56000000000000005</v>
      </c>
      <c r="D26">
        <v>2016</v>
      </c>
    </row>
    <row r="27" spans="1:4" x14ac:dyDescent="0.2">
      <c r="A27" t="s">
        <v>30</v>
      </c>
      <c r="B27" s="1">
        <v>0.43</v>
      </c>
      <c r="C27" s="1">
        <v>0.56999999999999995</v>
      </c>
      <c r="D27">
        <v>2016</v>
      </c>
    </row>
    <row r="28" spans="1:4" x14ac:dyDescent="0.2">
      <c r="A28" t="s">
        <v>32</v>
      </c>
      <c r="B28" s="1">
        <v>0.45</v>
      </c>
      <c r="C28" s="1">
        <v>0.55000000000000004</v>
      </c>
      <c r="D28">
        <v>2016</v>
      </c>
    </row>
    <row r="29" spans="1:4" x14ac:dyDescent="0.2">
      <c r="A29" t="s">
        <v>37</v>
      </c>
      <c r="B29" s="1">
        <v>0.45</v>
      </c>
      <c r="C29" s="1">
        <v>0.55000000000000004</v>
      </c>
      <c r="D29">
        <v>2016</v>
      </c>
    </row>
    <row r="30" spans="1:4" x14ac:dyDescent="0.2">
      <c r="A30" t="s">
        <v>10</v>
      </c>
      <c r="B30" s="1">
        <v>0.42</v>
      </c>
      <c r="C30" s="1">
        <v>0.57999999999999996</v>
      </c>
      <c r="D30">
        <v>2016</v>
      </c>
    </row>
    <row r="31" spans="1:4" x14ac:dyDescent="0.2">
      <c r="A31" t="s">
        <v>3</v>
      </c>
      <c r="B31" s="1">
        <v>0.44</v>
      </c>
      <c r="C31" s="1">
        <v>0.56000000000000005</v>
      </c>
      <c r="D31">
        <v>2016</v>
      </c>
    </row>
    <row r="32" spans="1:4" x14ac:dyDescent="0.2">
      <c r="A32" t="s">
        <v>11</v>
      </c>
      <c r="B32" s="1">
        <v>0.42</v>
      </c>
      <c r="C32" s="1">
        <v>0.57999999999999996</v>
      </c>
      <c r="D32">
        <v>2016</v>
      </c>
    </row>
    <row r="33" spans="1:4" x14ac:dyDescent="0.2">
      <c r="A33" t="s">
        <v>29</v>
      </c>
      <c r="B33" s="1">
        <v>0.44</v>
      </c>
      <c r="C33" s="1">
        <v>0.56000000000000005</v>
      </c>
      <c r="D33">
        <v>2016</v>
      </c>
    </row>
    <row r="34" spans="1:4" x14ac:dyDescent="0.2">
      <c r="A34" t="s">
        <v>26</v>
      </c>
      <c r="B34" s="1">
        <v>0.43</v>
      </c>
      <c r="C34" s="1">
        <v>0.56999999999999995</v>
      </c>
      <c r="D34">
        <v>2016</v>
      </c>
    </row>
    <row r="35" spans="1:4" x14ac:dyDescent="0.2">
      <c r="A35" t="s">
        <v>15</v>
      </c>
      <c r="B35" s="1">
        <v>0.43</v>
      </c>
      <c r="C35" s="1">
        <v>0.56999999999999995</v>
      </c>
      <c r="D35">
        <v>2016</v>
      </c>
    </row>
    <row r="36" spans="1:4" x14ac:dyDescent="0.2">
      <c r="A36" t="s">
        <v>46</v>
      </c>
      <c r="B36" s="1">
        <v>0.44</v>
      </c>
      <c r="C36" s="1">
        <v>0.56000000000000005</v>
      </c>
      <c r="D36">
        <v>2016</v>
      </c>
    </row>
    <row r="37" spans="1:4" x14ac:dyDescent="0.2">
      <c r="A37" t="s">
        <v>1</v>
      </c>
      <c r="B37" s="1">
        <v>0.44</v>
      </c>
      <c r="C37" s="1">
        <v>0.56000000000000005</v>
      </c>
      <c r="D37">
        <v>2016</v>
      </c>
    </row>
    <row r="38" spans="1:4" x14ac:dyDescent="0.2">
      <c r="A38" t="s">
        <v>41</v>
      </c>
      <c r="B38" s="1">
        <v>0.45</v>
      </c>
      <c r="C38" s="1">
        <v>0.55000000000000004</v>
      </c>
      <c r="D38">
        <v>2016</v>
      </c>
    </row>
    <row r="39" spans="1:4" x14ac:dyDescent="0.2">
      <c r="A39" t="s">
        <v>31</v>
      </c>
      <c r="B39" s="1">
        <v>0.44</v>
      </c>
      <c r="C39" s="1">
        <v>0.56000000000000005</v>
      </c>
      <c r="D39">
        <v>2016</v>
      </c>
    </row>
    <row r="40" spans="1:4" x14ac:dyDescent="0.2">
      <c r="A40" t="s">
        <v>17</v>
      </c>
      <c r="B40" s="1">
        <v>0.44</v>
      </c>
      <c r="C40" s="1">
        <v>0.56000000000000005</v>
      </c>
      <c r="D40">
        <v>2016</v>
      </c>
    </row>
    <row r="41" spans="1:4" x14ac:dyDescent="0.2">
      <c r="A41" t="s">
        <v>7</v>
      </c>
      <c r="B41" s="1">
        <v>0.41</v>
      </c>
      <c r="C41" s="1">
        <v>0.59</v>
      </c>
      <c r="D41">
        <v>2016</v>
      </c>
    </row>
    <row r="42" spans="1:4" x14ac:dyDescent="0.2">
      <c r="A42" t="s">
        <v>39</v>
      </c>
      <c r="B42" s="1">
        <v>0.43</v>
      </c>
      <c r="C42" s="1">
        <v>0.56999999999999995</v>
      </c>
      <c r="D42">
        <v>2016</v>
      </c>
    </row>
    <row r="43" spans="1:4" x14ac:dyDescent="0.2">
      <c r="A43" t="s">
        <v>43</v>
      </c>
      <c r="B43" s="1">
        <v>0.43</v>
      </c>
      <c r="C43" s="1">
        <v>0.56999999999999995</v>
      </c>
      <c r="D43">
        <v>2016</v>
      </c>
    </row>
    <row r="44" spans="1:4" x14ac:dyDescent="0.2">
      <c r="A44" t="s">
        <v>36</v>
      </c>
      <c r="B44" s="1">
        <v>0.44</v>
      </c>
      <c r="C44" s="1">
        <v>0.56000000000000005</v>
      </c>
      <c r="D44">
        <v>2016</v>
      </c>
    </row>
    <row r="45" spans="1:4" x14ac:dyDescent="0.2">
      <c r="A45" t="s">
        <v>48</v>
      </c>
      <c r="B45" s="1">
        <v>0.43</v>
      </c>
      <c r="C45" s="1">
        <v>0.56999999999999995</v>
      </c>
      <c r="D45">
        <v>2016</v>
      </c>
    </row>
    <row r="46" spans="1:4" x14ac:dyDescent="0.2">
      <c r="A46" t="s">
        <v>0</v>
      </c>
      <c r="B46" s="1">
        <v>0.45</v>
      </c>
      <c r="C46" s="1">
        <v>0.55000000000000004</v>
      </c>
      <c r="D46">
        <v>2016</v>
      </c>
    </row>
    <row r="47" spans="1:4" x14ac:dyDescent="0.2">
      <c r="A47" t="s">
        <v>9</v>
      </c>
      <c r="B47" s="1">
        <v>0.46</v>
      </c>
      <c r="C47" s="1">
        <v>0.54</v>
      </c>
      <c r="D47">
        <v>2016</v>
      </c>
    </row>
    <row r="48" spans="1:4" x14ac:dyDescent="0.2">
      <c r="A48" t="s">
        <v>2</v>
      </c>
      <c r="B48" s="1">
        <v>0.44</v>
      </c>
      <c r="C48" s="1">
        <v>0.56000000000000005</v>
      </c>
      <c r="D48">
        <v>2016</v>
      </c>
    </row>
    <row r="49" spans="1:4" x14ac:dyDescent="0.2">
      <c r="A49" t="s">
        <v>40</v>
      </c>
      <c r="B49" s="1">
        <v>0.44</v>
      </c>
      <c r="C49" s="1">
        <v>0.56000000000000005</v>
      </c>
      <c r="D49">
        <v>2016</v>
      </c>
    </row>
    <row r="50" spans="1:4" x14ac:dyDescent="0.2">
      <c r="A50" t="s">
        <v>13</v>
      </c>
      <c r="B50" s="1">
        <v>0.44</v>
      </c>
      <c r="C50" s="1">
        <v>0.56000000000000005</v>
      </c>
      <c r="D50">
        <v>2016</v>
      </c>
    </row>
    <row r="51" spans="1:4" x14ac:dyDescent="0.2">
      <c r="A51" t="s">
        <v>25</v>
      </c>
      <c r="B51" s="1">
        <v>0.43</v>
      </c>
      <c r="C51" s="1">
        <v>0.56999999999999995</v>
      </c>
      <c r="D51">
        <v>2016</v>
      </c>
    </row>
    <row r="52" spans="1:4" x14ac:dyDescent="0.2">
      <c r="A52" t="s">
        <v>45</v>
      </c>
      <c r="B52" s="1">
        <v>0.47</v>
      </c>
      <c r="C52" s="1">
        <v>0.53</v>
      </c>
      <c r="D52">
        <v>2016</v>
      </c>
    </row>
    <row r="53" spans="1:4" x14ac:dyDescent="0.2">
      <c r="B53" s="1"/>
      <c r="C53" s="1"/>
    </row>
    <row r="54" spans="1:4" x14ac:dyDescent="0.2">
      <c r="B54" s="1"/>
      <c r="C54" s="1"/>
    </row>
  </sheetData>
  <sortState xmlns:xlrd2="http://schemas.microsoft.com/office/spreadsheetml/2017/richdata2" ref="A2:C57">
    <sortCondition ref="A2"/>
  </sortState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4"/>
  <sheetViews>
    <sheetView workbookViewId="0">
      <selection activeCell="A2" sqref="A2:D52"/>
    </sheetView>
  </sheetViews>
  <sheetFormatPr baseColWidth="10" defaultRowHeight="16" x14ac:dyDescent="0.2"/>
  <cols>
    <col min="2" max="2" width="25.33203125" customWidth="1"/>
  </cols>
  <sheetData>
    <row r="1" spans="1:4" x14ac:dyDescent="0.2">
      <c r="B1" t="s">
        <v>66</v>
      </c>
      <c r="C1" t="s">
        <v>68</v>
      </c>
    </row>
    <row r="2" spans="1:4" x14ac:dyDescent="0.2">
      <c r="A2" t="s">
        <v>22</v>
      </c>
      <c r="B2" s="1">
        <v>0.25</v>
      </c>
      <c r="C2" s="1">
        <v>0.75</v>
      </c>
      <c r="D2">
        <v>2012</v>
      </c>
    </row>
    <row r="3" spans="1:4" x14ac:dyDescent="0.2">
      <c r="A3" t="s">
        <v>49</v>
      </c>
      <c r="B3" s="1">
        <v>0.19</v>
      </c>
      <c r="C3" s="1">
        <v>0.81</v>
      </c>
      <c r="D3">
        <v>2012</v>
      </c>
    </row>
    <row r="4" spans="1:4" x14ac:dyDescent="0.2">
      <c r="A4" t="s">
        <v>28</v>
      </c>
      <c r="B4" s="1">
        <v>0.22</v>
      </c>
      <c r="C4" s="1">
        <v>0.78</v>
      </c>
      <c r="D4">
        <v>2012</v>
      </c>
    </row>
    <row r="5" spans="1:4" x14ac:dyDescent="0.2">
      <c r="A5" t="s">
        <v>35</v>
      </c>
      <c r="B5" s="1">
        <v>0.28000000000000003</v>
      </c>
      <c r="C5" s="1">
        <v>0.72</v>
      </c>
      <c r="D5">
        <v>2012</v>
      </c>
    </row>
    <row r="6" spans="1:4" x14ac:dyDescent="0.2">
      <c r="A6" t="s">
        <v>44</v>
      </c>
      <c r="B6" s="1">
        <v>0.23</v>
      </c>
      <c r="C6" s="1">
        <v>0.77</v>
      </c>
      <c r="D6">
        <v>2012</v>
      </c>
    </row>
    <row r="7" spans="1:4" x14ac:dyDescent="0.2">
      <c r="A7" t="s">
        <v>12</v>
      </c>
      <c r="B7" s="1">
        <v>0.23</v>
      </c>
      <c r="C7" s="1">
        <v>0.77</v>
      </c>
      <c r="D7">
        <v>2012</v>
      </c>
    </row>
    <row r="8" spans="1:4" x14ac:dyDescent="0.2">
      <c r="A8" t="s">
        <v>20</v>
      </c>
      <c r="B8" s="1">
        <v>0.24</v>
      </c>
      <c r="C8" s="1">
        <v>0.76</v>
      </c>
      <c r="D8">
        <v>2012</v>
      </c>
    </row>
    <row r="9" spans="1:4" x14ac:dyDescent="0.2">
      <c r="A9" t="s">
        <v>24</v>
      </c>
      <c r="B9" s="1">
        <v>0.28000000000000003</v>
      </c>
      <c r="C9" s="1">
        <v>0.72</v>
      </c>
      <c r="D9">
        <v>2012</v>
      </c>
    </row>
    <row r="10" spans="1:4" x14ac:dyDescent="0.2">
      <c r="A10" t="s">
        <v>6</v>
      </c>
      <c r="B10" s="1">
        <v>0.24</v>
      </c>
      <c r="C10" s="1">
        <v>0.76</v>
      </c>
      <c r="D10">
        <v>2012</v>
      </c>
    </row>
    <row r="11" spans="1:4" x14ac:dyDescent="0.2">
      <c r="A11" t="s">
        <v>14</v>
      </c>
      <c r="B11" s="1">
        <v>0.24</v>
      </c>
      <c r="C11" s="1">
        <v>0.76</v>
      </c>
      <c r="D11">
        <v>2012</v>
      </c>
    </row>
    <row r="12" spans="1:4" x14ac:dyDescent="0.2">
      <c r="A12" t="s">
        <v>34</v>
      </c>
      <c r="B12" s="1">
        <v>0.24</v>
      </c>
      <c r="C12" s="1">
        <v>0.76</v>
      </c>
      <c r="D12">
        <v>2012</v>
      </c>
    </row>
    <row r="13" spans="1:4" x14ac:dyDescent="0.2">
      <c r="A13" t="s">
        <v>50</v>
      </c>
      <c r="B13" s="1">
        <v>0.26</v>
      </c>
      <c r="C13" s="1">
        <v>0.74</v>
      </c>
      <c r="D13">
        <v>2012</v>
      </c>
    </row>
    <row r="14" spans="1:4" x14ac:dyDescent="0.2">
      <c r="A14" t="s">
        <v>8</v>
      </c>
      <c r="B14" s="1">
        <v>0.17</v>
      </c>
      <c r="C14" s="1">
        <v>0.83</v>
      </c>
      <c r="D14">
        <v>2012</v>
      </c>
    </row>
    <row r="15" spans="1:4" x14ac:dyDescent="0.2">
      <c r="A15" t="s">
        <v>27</v>
      </c>
      <c r="B15" s="1">
        <v>0.25</v>
      </c>
      <c r="C15" s="1">
        <v>0.75</v>
      </c>
      <c r="D15">
        <v>2012</v>
      </c>
    </row>
    <row r="16" spans="1:4" x14ac:dyDescent="0.2">
      <c r="A16" t="s">
        <v>21</v>
      </c>
      <c r="B16" s="1">
        <v>0.26</v>
      </c>
      <c r="C16" s="1">
        <v>0.74</v>
      </c>
      <c r="D16">
        <v>2012</v>
      </c>
    </row>
    <row r="17" spans="1:4" x14ac:dyDescent="0.2">
      <c r="A17" t="s">
        <v>5</v>
      </c>
      <c r="B17" s="1">
        <v>0.27</v>
      </c>
      <c r="C17" s="1">
        <v>0.73</v>
      </c>
      <c r="D17">
        <v>2012</v>
      </c>
    </row>
    <row r="18" spans="1:4" x14ac:dyDescent="0.2">
      <c r="A18" t="s">
        <v>23</v>
      </c>
      <c r="B18" s="1">
        <v>0.26</v>
      </c>
      <c r="C18" s="1">
        <v>0.74</v>
      </c>
      <c r="D18">
        <v>2012</v>
      </c>
    </row>
    <row r="19" spans="1:4" x14ac:dyDescent="0.2">
      <c r="A19" t="s">
        <v>18</v>
      </c>
      <c r="B19" s="1">
        <v>0.22</v>
      </c>
      <c r="C19" s="1">
        <v>0.78</v>
      </c>
      <c r="D19">
        <v>2012</v>
      </c>
    </row>
    <row r="20" spans="1:4" x14ac:dyDescent="0.2">
      <c r="A20" t="s">
        <v>42</v>
      </c>
      <c r="B20" s="1">
        <v>0.26</v>
      </c>
      <c r="C20" s="1">
        <v>0.74</v>
      </c>
      <c r="D20">
        <v>2012</v>
      </c>
    </row>
    <row r="21" spans="1:4" x14ac:dyDescent="0.2">
      <c r="A21" t="s">
        <v>19</v>
      </c>
      <c r="B21" s="1">
        <v>0.25</v>
      </c>
      <c r="C21" s="1">
        <v>0.75</v>
      </c>
      <c r="D21">
        <v>2012</v>
      </c>
    </row>
    <row r="22" spans="1:4" x14ac:dyDescent="0.2">
      <c r="A22" t="s">
        <v>16</v>
      </c>
      <c r="B22" s="1">
        <v>0.26</v>
      </c>
      <c r="C22" s="1">
        <v>0.74</v>
      </c>
      <c r="D22">
        <v>2012</v>
      </c>
    </row>
    <row r="23" spans="1:4" x14ac:dyDescent="0.2">
      <c r="A23" t="s">
        <v>4</v>
      </c>
      <c r="B23" s="1">
        <v>0.2</v>
      </c>
      <c r="C23" s="1">
        <v>0.8</v>
      </c>
      <c r="D23">
        <v>2012</v>
      </c>
    </row>
    <row r="24" spans="1:4" x14ac:dyDescent="0.2">
      <c r="A24" t="s">
        <v>33</v>
      </c>
      <c r="B24" s="1">
        <v>0.23</v>
      </c>
      <c r="C24" s="1">
        <v>0.77</v>
      </c>
      <c r="D24">
        <v>2012</v>
      </c>
    </row>
    <row r="25" spans="1:4" x14ac:dyDescent="0.2">
      <c r="A25" t="s">
        <v>47</v>
      </c>
      <c r="B25" s="1">
        <v>0.24</v>
      </c>
      <c r="C25" s="1">
        <v>0.76</v>
      </c>
      <c r="D25">
        <v>2012</v>
      </c>
    </row>
    <row r="26" spans="1:4" x14ac:dyDescent="0.2">
      <c r="A26" t="s">
        <v>38</v>
      </c>
      <c r="B26" s="1">
        <v>0.3</v>
      </c>
      <c r="C26" s="1">
        <v>0.7</v>
      </c>
      <c r="D26">
        <v>2012</v>
      </c>
    </row>
    <row r="27" spans="1:4" x14ac:dyDescent="0.2">
      <c r="A27" t="s">
        <v>30</v>
      </c>
      <c r="B27" s="1">
        <v>0.24</v>
      </c>
      <c r="C27" s="1">
        <v>0.76</v>
      </c>
      <c r="D27">
        <v>2012</v>
      </c>
    </row>
    <row r="28" spans="1:4" x14ac:dyDescent="0.2">
      <c r="A28" t="s">
        <v>32</v>
      </c>
      <c r="B28" s="1">
        <v>0.23</v>
      </c>
      <c r="C28" s="1">
        <v>0.77</v>
      </c>
      <c r="D28">
        <v>2012</v>
      </c>
    </row>
    <row r="29" spans="1:4" x14ac:dyDescent="0.2">
      <c r="A29" t="s">
        <v>37</v>
      </c>
      <c r="B29" s="1">
        <v>0.25</v>
      </c>
      <c r="C29" s="1">
        <v>0.75</v>
      </c>
      <c r="D29">
        <v>2012</v>
      </c>
    </row>
    <row r="30" spans="1:4" x14ac:dyDescent="0.2">
      <c r="A30" t="s">
        <v>10</v>
      </c>
      <c r="B30" s="1">
        <v>0.25</v>
      </c>
      <c r="C30" s="1">
        <v>0.75</v>
      </c>
      <c r="D30">
        <v>2012</v>
      </c>
    </row>
    <row r="31" spans="1:4" x14ac:dyDescent="0.2">
      <c r="A31" t="s">
        <v>3</v>
      </c>
      <c r="B31" s="1">
        <v>0.22</v>
      </c>
      <c r="C31" s="1">
        <v>0.78</v>
      </c>
      <c r="D31">
        <v>2012</v>
      </c>
    </row>
    <row r="32" spans="1:4" x14ac:dyDescent="0.2">
      <c r="A32" t="s">
        <v>11</v>
      </c>
      <c r="B32" s="1">
        <v>0.26</v>
      </c>
      <c r="C32" s="1">
        <v>0.74</v>
      </c>
      <c r="D32">
        <v>2012</v>
      </c>
    </row>
    <row r="33" spans="1:4" x14ac:dyDescent="0.2">
      <c r="A33" t="s">
        <v>29</v>
      </c>
      <c r="B33" s="1">
        <v>0.22</v>
      </c>
      <c r="C33" s="1">
        <v>0.78</v>
      </c>
      <c r="D33">
        <v>2012</v>
      </c>
    </row>
    <row r="34" spans="1:4" x14ac:dyDescent="0.2">
      <c r="A34" t="s">
        <v>26</v>
      </c>
      <c r="B34" s="1">
        <v>0.25</v>
      </c>
      <c r="C34" s="1">
        <v>0.75</v>
      </c>
      <c r="D34">
        <v>2012</v>
      </c>
    </row>
    <row r="35" spans="1:4" x14ac:dyDescent="0.2">
      <c r="A35" t="s">
        <v>15</v>
      </c>
      <c r="B35" s="1">
        <v>0.24</v>
      </c>
      <c r="C35" s="1">
        <v>0.76</v>
      </c>
      <c r="D35">
        <v>2012</v>
      </c>
    </row>
    <row r="36" spans="1:4" x14ac:dyDescent="0.2">
      <c r="A36" t="s">
        <v>46</v>
      </c>
      <c r="B36" s="1">
        <v>0.24</v>
      </c>
      <c r="C36" s="1">
        <v>0.76</v>
      </c>
      <c r="D36">
        <v>2012</v>
      </c>
    </row>
    <row r="37" spans="1:4" x14ac:dyDescent="0.2">
      <c r="A37" t="s">
        <v>1</v>
      </c>
      <c r="B37" s="1">
        <v>0.23</v>
      </c>
      <c r="C37" s="1">
        <v>0.77</v>
      </c>
      <c r="D37">
        <v>2012</v>
      </c>
    </row>
    <row r="38" spans="1:4" x14ac:dyDescent="0.2">
      <c r="A38" t="s">
        <v>41</v>
      </c>
      <c r="B38" s="1">
        <v>0.23</v>
      </c>
      <c r="C38" s="1">
        <v>0.77</v>
      </c>
      <c r="D38">
        <v>2012</v>
      </c>
    </row>
    <row r="39" spans="1:4" x14ac:dyDescent="0.2">
      <c r="A39" t="s">
        <v>31</v>
      </c>
      <c r="B39" s="1">
        <v>0.23</v>
      </c>
      <c r="C39" s="1">
        <v>0.77</v>
      </c>
      <c r="D39">
        <v>2012</v>
      </c>
    </row>
    <row r="40" spans="1:4" x14ac:dyDescent="0.2">
      <c r="A40" t="s">
        <v>17</v>
      </c>
      <c r="B40" s="1">
        <v>0.24</v>
      </c>
      <c r="C40" s="1">
        <v>0.76</v>
      </c>
      <c r="D40">
        <v>2012</v>
      </c>
    </row>
    <row r="41" spans="1:4" x14ac:dyDescent="0.2">
      <c r="A41" t="s">
        <v>7</v>
      </c>
      <c r="B41" s="1">
        <v>0.21</v>
      </c>
      <c r="C41" s="1">
        <v>0.79</v>
      </c>
      <c r="D41">
        <v>2012</v>
      </c>
    </row>
    <row r="42" spans="1:4" x14ac:dyDescent="0.2">
      <c r="A42" t="s">
        <v>39</v>
      </c>
      <c r="B42" s="1">
        <v>0.27</v>
      </c>
      <c r="C42" s="1">
        <v>0.73</v>
      </c>
      <c r="D42">
        <v>2012</v>
      </c>
    </row>
    <row r="43" spans="1:4" x14ac:dyDescent="0.2">
      <c r="A43" t="s">
        <v>43</v>
      </c>
      <c r="B43" s="1">
        <v>0.27</v>
      </c>
      <c r="C43" s="1">
        <v>0.73</v>
      </c>
      <c r="D43">
        <v>2012</v>
      </c>
    </row>
    <row r="44" spans="1:4" x14ac:dyDescent="0.2">
      <c r="A44" t="s">
        <v>36</v>
      </c>
      <c r="B44" s="1">
        <v>0.24</v>
      </c>
      <c r="C44" s="1">
        <v>0.76</v>
      </c>
      <c r="D44">
        <v>2012</v>
      </c>
    </row>
    <row r="45" spans="1:4" x14ac:dyDescent="0.2">
      <c r="A45" t="s">
        <v>48</v>
      </c>
      <c r="B45" s="1">
        <v>0.25</v>
      </c>
      <c r="C45" s="1">
        <v>0.75</v>
      </c>
      <c r="D45">
        <v>2012</v>
      </c>
    </row>
    <row r="46" spans="1:4" x14ac:dyDescent="0.2">
      <c r="A46" t="s">
        <v>0</v>
      </c>
      <c r="B46" s="1">
        <v>0.14000000000000001</v>
      </c>
      <c r="C46" s="1">
        <v>0.86</v>
      </c>
      <c r="D46">
        <v>2012</v>
      </c>
    </row>
    <row r="47" spans="1:4" x14ac:dyDescent="0.2">
      <c r="A47" t="s">
        <v>9</v>
      </c>
      <c r="B47" s="1">
        <v>0.22</v>
      </c>
      <c r="C47" s="1">
        <v>0.78</v>
      </c>
      <c r="D47">
        <v>2012</v>
      </c>
    </row>
    <row r="48" spans="1:4" x14ac:dyDescent="0.2">
      <c r="A48" t="s">
        <v>2</v>
      </c>
      <c r="B48" s="1">
        <v>0.23</v>
      </c>
      <c r="C48" s="1">
        <v>0.77</v>
      </c>
      <c r="D48">
        <v>2012</v>
      </c>
    </row>
    <row r="49" spans="1:4" x14ac:dyDescent="0.2">
      <c r="A49" t="s">
        <v>40</v>
      </c>
      <c r="B49" s="1">
        <v>0.23</v>
      </c>
      <c r="C49" s="1">
        <v>0.77</v>
      </c>
      <c r="D49">
        <v>2012</v>
      </c>
    </row>
    <row r="50" spans="1:4" x14ac:dyDescent="0.2">
      <c r="A50" t="s">
        <v>13</v>
      </c>
      <c r="B50" s="1">
        <v>0.22</v>
      </c>
      <c r="C50" s="1">
        <v>0.78</v>
      </c>
      <c r="D50">
        <v>2012</v>
      </c>
    </row>
    <row r="51" spans="1:4" x14ac:dyDescent="0.2">
      <c r="A51" t="s">
        <v>25</v>
      </c>
      <c r="B51" s="1">
        <v>0.25</v>
      </c>
      <c r="C51" s="1">
        <v>0.75</v>
      </c>
      <c r="D51">
        <v>2012</v>
      </c>
    </row>
    <row r="52" spans="1:4" x14ac:dyDescent="0.2">
      <c r="A52" t="s">
        <v>45</v>
      </c>
      <c r="B52" s="1">
        <v>0.22</v>
      </c>
      <c r="C52" s="1">
        <v>0.78</v>
      </c>
      <c r="D52">
        <v>2012</v>
      </c>
    </row>
    <row r="53" spans="1:4" x14ac:dyDescent="0.2">
      <c r="B53" s="1"/>
      <c r="C53" s="1"/>
    </row>
    <row r="54" spans="1:4" x14ac:dyDescent="0.2">
      <c r="B54" s="1"/>
      <c r="C54" s="1"/>
    </row>
  </sheetData>
  <sortState xmlns:xlrd2="http://schemas.microsoft.com/office/spreadsheetml/2017/richdata2" ref="A2:C57">
    <sortCondition ref="A2"/>
  </sortState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2"/>
  <sheetViews>
    <sheetView workbookViewId="0">
      <selection activeCell="A2" sqref="A2:D52"/>
    </sheetView>
  </sheetViews>
  <sheetFormatPr baseColWidth="10" defaultRowHeight="16" x14ac:dyDescent="0.2"/>
  <sheetData>
    <row r="1" spans="1:4" x14ac:dyDescent="0.2">
      <c r="B1" t="s">
        <v>66</v>
      </c>
      <c r="C1" t="s">
        <v>67</v>
      </c>
    </row>
    <row r="2" spans="1:4" x14ac:dyDescent="0.2">
      <c r="A2" t="s">
        <v>22</v>
      </c>
      <c r="B2" s="1">
        <v>0.55000000000000004</v>
      </c>
      <c r="C2" s="1">
        <v>0.45</v>
      </c>
      <c r="D2">
        <v>2008</v>
      </c>
    </row>
    <row r="3" spans="1:4" x14ac:dyDescent="0.2">
      <c r="A3" t="s">
        <v>49</v>
      </c>
      <c r="B3" s="1">
        <v>0.52</v>
      </c>
      <c r="C3" s="1">
        <v>0.48</v>
      </c>
      <c r="D3">
        <v>2008</v>
      </c>
    </row>
    <row r="4" spans="1:4" x14ac:dyDescent="0.2">
      <c r="A4" t="s">
        <v>28</v>
      </c>
      <c r="B4" s="1">
        <v>0.53</v>
      </c>
      <c r="C4" s="1">
        <v>0.47</v>
      </c>
      <c r="D4">
        <v>2008</v>
      </c>
    </row>
    <row r="5" spans="1:4" x14ac:dyDescent="0.2">
      <c r="A5" t="s">
        <v>35</v>
      </c>
      <c r="B5" s="1">
        <v>0.53</v>
      </c>
      <c r="C5" s="1">
        <v>0.47</v>
      </c>
      <c r="D5">
        <v>2008</v>
      </c>
    </row>
    <row r="6" spans="1:4" x14ac:dyDescent="0.2">
      <c r="A6" t="s">
        <v>44</v>
      </c>
      <c r="B6" s="1">
        <v>0.59</v>
      </c>
      <c r="C6" s="1">
        <v>0.41</v>
      </c>
      <c r="D6">
        <v>2008</v>
      </c>
    </row>
    <row r="7" spans="1:4" x14ac:dyDescent="0.2">
      <c r="A7" t="s">
        <v>12</v>
      </c>
      <c r="B7" s="1">
        <v>0.57999999999999996</v>
      </c>
      <c r="C7" s="1">
        <v>0.42</v>
      </c>
      <c r="D7">
        <v>2008</v>
      </c>
    </row>
    <row r="8" spans="1:4" x14ac:dyDescent="0.2">
      <c r="A8" t="s">
        <v>20</v>
      </c>
      <c r="B8" s="1">
        <v>0.56999999999999995</v>
      </c>
      <c r="C8" s="1">
        <v>0.43</v>
      </c>
      <c r="D8">
        <v>2008</v>
      </c>
    </row>
    <row r="9" spans="1:4" x14ac:dyDescent="0.2">
      <c r="A9" t="s">
        <v>24</v>
      </c>
      <c r="B9" s="1">
        <v>0.6</v>
      </c>
      <c r="C9" s="1">
        <v>0.4</v>
      </c>
      <c r="D9">
        <v>2008</v>
      </c>
    </row>
    <row r="10" spans="1:4" x14ac:dyDescent="0.2">
      <c r="A10" t="s">
        <v>6</v>
      </c>
      <c r="B10" s="1">
        <v>0.59</v>
      </c>
      <c r="C10" s="1">
        <v>0.41</v>
      </c>
      <c r="D10">
        <v>2008</v>
      </c>
    </row>
    <row r="11" spans="1:4" x14ac:dyDescent="0.2">
      <c r="A11" t="s">
        <v>14</v>
      </c>
      <c r="B11" s="1">
        <v>0.57999999999999996</v>
      </c>
      <c r="C11" s="1">
        <v>0.42</v>
      </c>
      <c r="D11">
        <v>2008</v>
      </c>
    </row>
    <row r="12" spans="1:4" x14ac:dyDescent="0.2">
      <c r="A12" t="s">
        <v>34</v>
      </c>
      <c r="B12" s="1">
        <v>0.57999999999999996</v>
      </c>
      <c r="C12" s="1">
        <v>0.42</v>
      </c>
      <c r="D12">
        <v>2008</v>
      </c>
    </row>
    <row r="13" spans="1:4" x14ac:dyDescent="0.2">
      <c r="A13" t="s">
        <v>50</v>
      </c>
      <c r="B13" s="1">
        <v>0.63</v>
      </c>
      <c r="C13" s="1">
        <v>0.37</v>
      </c>
      <c r="D13">
        <v>2008</v>
      </c>
    </row>
    <row r="14" spans="1:4" x14ac:dyDescent="0.2">
      <c r="A14" t="s">
        <v>8</v>
      </c>
      <c r="B14" s="1">
        <v>0.51</v>
      </c>
      <c r="C14" s="1">
        <v>0.49</v>
      </c>
      <c r="D14">
        <v>2008</v>
      </c>
    </row>
    <row r="15" spans="1:4" x14ac:dyDescent="0.2">
      <c r="A15" t="s">
        <v>27</v>
      </c>
      <c r="B15" s="1">
        <v>0.6</v>
      </c>
      <c r="C15" s="1">
        <v>0.4</v>
      </c>
      <c r="D15">
        <v>2008</v>
      </c>
    </row>
    <row r="16" spans="1:4" x14ac:dyDescent="0.2">
      <c r="A16" t="s">
        <v>21</v>
      </c>
      <c r="B16" s="1">
        <v>0.57999999999999996</v>
      </c>
      <c r="C16" s="1">
        <v>0.42</v>
      </c>
      <c r="D16">
        <v>2008</v>
      </c>
    </row>
    <row r="17" spans="1:4" x14ac:dyDescent="0.2">
      <c r="A17" t="s">
        <v>5</v>
      </c>
      <c r="B17" s="1">
        <v>0.56000000000000005</v>
      </c>
      <c r="C17" s="1">
        <v>0.44</v>
      </c>
      <c r="D17">
        <v>2008</v>
      </c>
    </row>
    <row r="18" spans="1:4" x14ac:dyDescent="0.2">
      <c r="A18" t="s">
        <v>23</v>
      </c>
      <c r="B18" s="1">
        <v>0.55000000000000004</v>
      </c>
      <c r="C18" s="1">
        <v>0.45</v>
      </c>
      <c r="D18">
        <v>2008</v>
      </c>
    </row>
    <row r="19" spans="1:4" x14ac:dyDescent="0.2">
      <c r="A19" t="s">
        <v>18</v>
      </c>
      <c r="B19" s="1">
        <v>0.56000000000000005</v>
      </c>
      <c r="C19" s="1">
        <v>0.44</v>
      </c>
      <c r="D19">
        <v>2008</v>
      </c>
    </row>
    <row r="20" spans="1:4" x14ac:dyDescent="0.2">
      <c r="A20" t="s">
        <v>42</v>
      </c>
      <c r="B20" s="1">
        <v>0.6</v>
      </c>
      <c r="C20" s="1">
        <v>0.4</v>
      </c>
      <c r="D20">
        <v>2008</v>
      </c>
    </row>
    <row r="21" spans="1:4" x14ac:dyDescent="0.2">
      <c r="A21" t="s">
        <v>19</v>
      </c>
      <c r="B21" s="1">
        <v>0.55000000000000004</v>
      </c>
      <c r="C21" s="1">
        <v>0.45</v>
      </c>
      <c r="D21">
        <v>2008</v>
      </c>
    </row>
    <row r="22" spans="1:4" x14ac:dyDescent="0.2">
      <c r="A22" t="s">
        <v>16</v>
      </c>
      <c r="B22" s="1">
        <v>0.59</v>
      </c>
      <c r="C22" s="1">
        <v>0.41</v>
      </c>
      <c r="D22">
        <v>2008</v>
      </c>
    </row>
    <row r="23" spans="1:4" x14ac:dyDescent="0.2">
      <c r="A23" t="s">
        <v>4</v>
      </c>
      <c r="B23" s="1">
        <v>0.57999999999999996</v>
      </c>
      <c r="C23" s="1">
        <v>0.42</v>
      </c>
      <c r="D23">
        <v>2008</v>
      </c>
    </row>
    <row r="24" spans="1:4" x14ac:dyDescent="0.2">
      <c r="A24" t="s">
        <v>33</v>
      </c>
      <c r="B24" s="1">
        <v>0.59</v>
      </c>
      <c r="C24" s="1">
        <v>0.41</v>
      </c>
      <c r="D24">
        <v>2008</v>
      </c>
    </row>
    <row r="25" spans="1:4" x14ac:dyDescent="0.2">
      <c r="A25" t="s">
        <v>47</v>
      </c>
      <c r="B25" s="1">
        <v>0.55000000000000004</v>
      </c>
      <c r="C25" s="1">
        <v>0.45</v>
      </c>
      <c r="D25">
        <v>2008</v>
      </c>
    </row>
    <row r="26" spans="1:4" x14ac:dyDescent="0.2">
      <c r="A26" t="s">
        <v>38</v>
      </c>
      <c r="B26" s="1">
        <v>0.55000000000000004</v>
      </c>
      <c r="C26" s="1">
        <v>0.45</v>
      </c>
      <c r="D26">
        <v>2008</v>
      </c>
    </row>
    <row r="27" spans="1:4" x14ac:dyDescent="0.2">
      <c r="A27" t="s">
        <v>30</v>
      </c>
      <c r="B27" s="1">
        <v>0.56999999999999995</v>
      </c>
      <c r="C27" s="1">
        <v>0.43</v>
      </c>
      <c r="D27">
        <v>2008</v>
      </c>
    </row>
    <row r="28" spans="1:4" x14ac:dyDescent="0.2">
      <c r="A28" t="s">
        <v>32</v>
      </c>
      <c r="B28" s="1">
        <v>0.53</v>
      </c>
      <c r="C28" s="1">
        <v>0.47</v>
      </c>
      <c r="D28">
        <v>2008</v>
      </c>
    </row>
    <row r="29" spans="1:4" x14ac:dyDescent="0.2">
      <c r="A29" t="s">
        <v>37</v>
      </c>
      <c r="B29" s="1">
        <v>0.55000000000000004</v>
      </c>
      <c r="C29" s="1">
        <v>0.45</v>
      </c>
      <c r="D29">
        <v>2008</v>
      </c>
    </row>
    <row r="30" spans="1:4" x14ac:dyDescent="0.2">
      <c r="A30" t="s">
        <v>10</v>
      </c>
      <c r="B30" s="1">
        <v>0.6</v>
      </c>
      <c r="C30" s="1">
        <v>0.4</v>
      </c>
      <c r="D30">
        <v>2008</v>
      </c>
    </row>
    <row r="31" spans="1:4" x14ac:dyDescent="0.2">
      <c r="A31" t="s">
        <v>3</v>
      </c>
      <c r="B31" s="1">
        <v>0.54</v>
      </c>
      <c r="C31" s="1">
        <v>0.46</v>
      </c>
      <c r="D31">
        <v>2008</v>
      </c>
    </row>
    <row r="32" spans="1:4" x14ac:dyDescent="0.2">
      <c r="A32" t="s">
        <v>11</v>
      </c>
      <c r="B32" s="1">
        <v>0.57999999999999996</v>
      </c>
      <c r="C32" s="1">
        <v>0.42</v>
      </c>
      <c r="D32">
        <v>2008</v>
      </c>
    </row>
    <row r="33" spans="1:4" x14ac:dyDescent="0.2">
      <c r="A33" t="s">
        <v>29</v>
      </c>
      <c r="B33" s="1">
        <v>0.59</v>
      </c>
      <c r="C33" s="1">
        <v>0.41</v>
      </c>
      <c r="D33">
        <v>2008</v>
      </c>
    </row>
    <row r="34" spans="1:4" x14ac:dyDescent="0.2">
      <c r="A34" t="s">
        <v>26</v>
      </c>
      <c r="B34" s="1">
        <v>0.59</v>
      </c>
      <c r="C34" s="1">
        <v>0.41</v>
      </c>
      <c r="D34">
        <v>2008</v>
      </c>
    </row>
    <row r="35" spans="1:4" x14ac:dyDescent="0.2">
      <c r="A35" t="s">
        <v>15</v>
      </c>
      <c r="B35" s="1">
        <v>0.57999999999999996</v>
      </c>
      <c r="C35" s="1">
        <v>0.42</v>
      </c>
      <c r="D35">
        <v>2008</v>
      </c>
    </row>
    <row r="36" spans="1:4" x14ac:dyDescent="0.2">
      <c r="A36" t="s">
        <v>46</v>
      </c>
      <c r="B36" s="1">
        <v>0.5</v>
      </c>
      <c r="C36" s="1">
        <v>0.5</v>
      </c>
      <c r="D36">
        <v>2008</v>
      </c>
    </row>
    <row r="37" spans="1:4" x14ac:dyDescent="0.2">
      <c r="A37" t="s">
        <v>1</v>
      </c>
      <c r="B37" s="1">
        <v>0.56000000000000005</v>
      </c>
      <c r="C37" s="1">
        <v>0.44</v>
      </c>
      <c r="D37">
        <v>2008</v>
      </c>
    </row>
    <row r="38" spans="1:4" x14ac:dyDescent="0.2">
      <c r="A38" t="s">
        <v>41</v>
      </c>
      <c r="B38" s="1">
        <v>0.53</v>
      </c>
      <c r="C38" s="1">
        <v>0.47</v>
      </c>
      <c r="D38">
        <v>2008</v>
      </c>
    </row>
    <row r="39" spans="1:4" x14ac:dyDescent="0.2">
      <c r="A39" t="s">
        <v>31</v>
      </c>
      <c r="B39" s="1">
        <v>0.57999999999999996</v>
      </c>
      <c r="C39" s="1">
        <v>0.42</v>
      </c>
      <c r="D39">
        <v>2008</v>
      </c>
    </row>
    <row r="40" spans="1:4" x14ac:dyDescent="0.2">
      <c r="A40" t="s">
        <v>17</v>
      </c>
      <c r="B40" s="1">
        <v>0.56999999999999995</v>
      </c>
      <c r="C40" s="1">
        <v>0.43</v>
      </c>
      <c r="D40">
        <v>2008</v>
      </c>
    </row>
    <row r="41" spans="1:4" x14ac:dyDescent="0.2">
      <c r="A41" t="s">
        <v>7</v>
      </c>
      <c r="B41" s="1">
        <v>0.55000000000000004</v>
      </c>
      <c r="C41" s="1">
        <v>0.45</v>
      </c>
      <c r="D41">
        <v>2008</v>
      </c>
    </row>
    <row r="42" spans="1:4" x14ac:dyDescent="0.2">
      <c r="A42" t="s">
        <v>39</v>
      </c>
      <c r="B42" s="1">
        <v>0.56000000000000005</v>
      </c>
      <c r="C42" s="1">
        <v>0.44</v>
      </c>
      <c r="D42">
        <v>2008</v>
      </c>
    </row>
    <row r="43" spans="1:4" x14ac:dyDescent="0.2">
      <c r="A43" t="s">
        <v>43</v>
      </c>
      <c r="B43" s="1">
        <v>0.53</v>
      </c>
      <c r="C43" s="1">
        <v>0.47</v>
      </c>
      <c r="D43">
        <v>2008</v>
      </c>
    </row>
    <row r="44" spans="1:4" x14ac:dyDescent="0.2">
      <c r="A44" t="s">
        <v>36</v>
      </c>
      <c r="B44" s="1">
        <v>0.54</v>
      </c>
      <c r="C44" s="1">
        <v>0.46</v>
      </c>
      <c r="D44">
        <v>2008</v>
      </c>
    </row>
    <row r="45" spans="1:4" x14ac:dyDescent="0.2">
      <c r="A45" t="s">
        <v>48</v>
      </c>
      <c r="B45" s="1">
        <v>0.56999999999999995</v>
      </c>
      <c r="C45" s="1">
        <v>0.43</v>
      </c>
      <c r="D45">
        <v>2008</v>
      </c>
    </row>
    <row r="46" spans="1:4" x14ac:dyDescent="0.2">
      <c r="A46" t="s">
        <v>0</v>
      </c>
      <c r="B46" s="1">
        <v>0.52</v>
      </c>
      <c r="C46" s="1">
        <v>0.48</v>
      </c>
      <c r="D46">
        <v>2008</v>
      </c>
    </row>
    <row r="47" spans="1:4" x14ac:dyDescent="0.2">
      <c r="A47" t="s">
        <v>9</v>
      </c>
      <c r="B47" s="1">
        <v>0.6</v>
      </c>
      <c r="C47" s="1">
        <v>0.4</v>
      </c>
      <c r="D47">
        <v>2008</v>
      </c>
    </row>
    <row r="48" spans="1:4" x14ac:dyDescent="0.2">
      <c r="A48" t="s">
        <v>2</v>
      </c>
      <c r="B48" s="1">
        <v>0.59</v>
      </c>
      <c r="C48" s="1">
        <v>0.41</v>
      </c>
      <c r="D48">
        <v>2008</v>
      </c>
    </row>
    <row r="49" spans="1:4" x14ac:dyDescent="0.2">
      <c r="A49" t="s">
        <v>40</v>
      </c>
      <c r="B49" s="1">
        <v>0.56000000000000005</v>
      </c>
      <c r="C49" s="1">
        <v>0.44</v>
      </c>
      <c r="D49">
        <v>2008</v>
      </c>
    </row>
    <row r="50" spans="1:4" x14ac:dyDescent="0.2">
      <c r="A50" t="s">
        <v>13</v>
      </c>
      <c r="B50" s="1">
        <v>0.53</v>
      </c>
      <c r="C50" s="1">
        <v>0.47</v>
      </c>
      <c r="D50">
        <v>2008</v>
      </c>
    </row>
    <row r="51" spans="1:4" x14ac:dyDescent="0.2">
      <c r="A51" t="s">
        <v>25</v>
      </c>
      <c r="B51" s="1">
        <v>0.59</v>
      </c>
      <c r="C51" s="1">
        <v>0.41</v>
      </c>
      <c r="D51">
        <v>2008</v>
      </c>
    </row>
    <row r="52" spans="1:4" x14ac:dyDescent="0.2">
      <c r="A52" t="s">
        <v>45</v>
      </c>
      <c r="B52" s="1">
        <v>0.47</v>
      </c>
      <c r="C52" s="1">
        <v>0.53</v>
      </c>
      <c r="D52">
        <v>2008</v>
      </c>
    </row>
  </sheetData>
  <sortState xmlns:xlrd2="http://schemas.microsoft.com/office/spreadsheetml/2017/richdata2" ref="A2:C55">
    <sortCondition ref="A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4"/>
  <sheetViews>
    <sheetView workbookViewId="0">
      <selection activeCell="A2" sqref="A2:D52"/>
    </sheetView>
  </sheetViews>
  <sheetFormatPr baseColWidth="10" defaultRowHeight="16" x14ac:dyDescent="0.2"/>
  <cols>
    <col min="2" max="2" width="27" customWidth="1"/>
    <col min="3" max="3" width="31.33203125" customWidth="1"/>
    <col min="4" max="4" width="32.1640625" customWidth="1"/>
  </cols>
  <sheetData>
    <row r="1" spans="1:4" x14ac:dyDescent="0.2">
      <c r="B1" t="s">
        <v>64</v>
      </c>
      <c r="C1" t="s">
        <v>65</v>
      </c>
    </row>
    <row r="2" spans="1:4" x14ac:dyDescent="0.2">
      <c r="A2" t="s">
        <v>22</v>
      </c>
      <c r="B2" s="1">
        <v>0.85</v>
      </c>
      <c r="C2" s="1">
        <v>0.15</v>
      </c>
      <c r="D2">
        <v>2004</v>
      </c>
    </row>
    <row r="3" spans="1:4" x14ac:dyDescent="0.2">
      <c r="A3" t="s">
        <v>49</v>
      </c>
      <c r="B3" s="1">
        <v>0.82</v>
      </c>
      <c r="C3" s="1">
        <v>0.18</v>
      </c>
      <c r="D3">
        <v>2004</v>
      </c>
    </row>
    <row r="4" spans="1:4" x14ac:dyDescent="0.2">
      <c r="A4" t="s">
        <v>28</v>
      </c>
      <c r="B4" s="1">
        <v>0.92</v>
      </c>
      <c r="C4" s="1">
        <v>0.08</v>
      </c>
      <c r="D4">
        <v>2004</v>
      </c>
    </row>
    <row r="5" spans="1:4" x14ac:dyDescent="0.2">
      <c r="A5" t="s">
        <v>35</v>
      </c>
      <c r="B5" s="1">
        <v>0.88</v>
      </c>
      <c r="C5" s="1">
        <v>0.12</v>
      </c>
      <c r="D5">
        <v>2004</v>
      </c>
    </row>
    <row r="6" spans="1:4" x14ac:dyDescent="0.2">
      <c r="A6" t="s">
        <v>44</v>
      </c>
      <c r="B6" s="1">
        <v>0.91</v>
      </c>
      <c r="C6" s="1">
        <v>0.09</v>
      </c>
      <c r="D6">
        <v>2004</v>
      </c>
    </row>
    <row r="7" spans="1:4" x14ac:dyDescent="0.2">
      <c r="A7" t="s">
        <v>12</v>
      </c>
      <c r="B7" s="1">
        <v>0.91</v>
      </c>
      <c r="C7" s="1">
        <v>0.09</v>
      </c>
      <c r="D7">
        <v>2004</v>
      </c>
    </row>
    <row r="8" spans="1:4" x14ac:dyDescent="0.2">
      <c r="A8" t="s">
        <v>20</v>
      </c>
      <c r="B8" s="1">
        <v>0.89</v>
      </c>
      <c r="C8" s="1">
        <v>0.11</v>
      </c>
      <c r="D8">
        <v>2004</v>
      </c>
    </row>
    <row r="9" spans="1:4" x14ac:dyDescent="0.2">
      <c r="A9" t="s">
        <v>24</v>
      </c>
      <c r="B9" s="1">
        <v>0.89</v>
      </c>
      <c r="C9" s="1">
        <v>0.11</v>
      </c>
      <c r="D9">
        <v>2004</v>
      </c>
    </row>
    <row r="10" spans="1:4" x14ac:dyDescent="0.2">
      <c r="A10" t="s">
        <v>6</v>
      </c>
      <c r="B10" s="1">
        <v>0.9</v>
      </c>
      <c r="C10" s="1">
        <v>0.1</v>
      </c>
      <c r="D10">
        <v>2004</v>
      </c>
    </row>
    <row r="11" spans="1:4" x14ac:dyDescent="0.2">
      <c r="A11" t="s">
        <v>14</v>
      </c>
      <c r="B11" s="1">
        <v>0.88</v>
      </c>
      <c r="C11" s="1">
        <v>0.12</v>
      </c>
      <c r="D11">
        <v>2004</v>
      </c>
    </row>
    <row r="12" spans="1:4" x14ac:dyDescent="0.2">
      <c r="A12" t="s">
        <v>34</v>
      </c>
      <c r="B12" s="1">
        <v>0.88</v>
      </c>
      <c r="C12" s="1">
        <v>0.12</v>
      </c>
      <c r="D12">
        <v>2004</v>
      </c>
    </row>
    <row r="13" spans="1:4" x14ac:dyDescent="0.2">
      <c r="A13" t="s">
        <v>50</v>
      </c>
      <c r="B13" s="1">
        <v>0.91</v>
      </c>
      <c r="C13" s="1">
        <v>0.09</v>
      </c>
      <c r="D13">
        <v>2004</v>
      </c>
    </row>
    <row r="14" spans="1:4" x14ac:dyDescent="0.2">
      <c r="A14" t="s">
        <v>8</v>
      </c>
      <c r="B14" s="1">
        <v>0.85</v>
      </c>
      <c r="C14" s="1">
        <v>0.15</v>
      </c>
      <c r="D14">
        <v>2004</v>
      </c>
    </row>
    <row r="15" spans="1:4" x14ac:dyDescent="0.2">
      <c r="A15" t="s">
        <v>27</v>
      </c>
      <c r="B15" s="1">
        <v>0.89</v>
      </c>
      <c r="C15" s="1">
        <v>0.11</v>
      </c>
      <c r="D15">
        <v>2004</v>
      </c>
    </row>
    <row r="16" spans="1:4" x14ac:dyDescent="0.2">
      <c r="A16" t="s">
        <v>21</v>
      </c>
      <c r="B16" s="1">
        <v>0.9</v>
      </c>
      <c r="C16" s="1">
        <v>0.1</v>
      </c>
      <c r="D16">
        <v>2004</v>
      </c>
    </row>
    <row r="17" spans="1:4" x14ac:dyDescent="0.2">
      <c r="A17" t="s">
        <v>5</v>
      </c>
      <c r="B17" s="1">
        <v>0.88</v>
      </c>
      <c r="C17" s="1">
        <v>0.12</v>
      </c>
      <c r="D17">
        <v>2004</v>
      </c>
    </row>
    <row r="18" spans="1:4" x14ac:dyDescent="0.2">
      <c r="A18" t="s">
        <v>23</v>
      </c>
      <c r="B18" s="1">
        <v>0.9</v>
      </c>
      <c r="C18" s="1">
        <v>0.1</v>
      </c>
      <c r="D18">
        <v>2004</v>
      </c>
    </row>
    <row r="19" spans="1:4" x14ac:dyDescent="0.2">
      <c r="A19" t="s">
        <v>18</v>
      </c>
      <c r="B19" s="1">
        <v>0.82</v>
      </c>
      <c r="C19" s="1">
        <v>0.18</v>
      </c>
      <c r="D19">
        <v>2004</v>
      </c>
    </row>
    <row r="20" spans="1:4" x14ac:dyDescent="0.2">
      <c r="A20" t="s">
        <v>42</v>
      </c>
      <c r="B20" s="1">
        <v>0.84</v>
      </c>
      <c r="C20" s="1">
        <v>0.16</v>
      </c>
      <c r="D20">
        <v>2004</v>
      </c>
    </row>
    <row r="21" spans="1:4" x14ac:dyDescent="0.2">
      <c r="A21" t="s">
        <v>19</v>
      </c>
      <c r="B21" s="1">
        <v>0.85</v>
      </c>
      <c r="C21" s="1">
        <v>0.15</v>
      </c>
      <c r="D21">
        <v>2004</v>
      </c>
    </row>
    <row r="22" spans="1:4" x14ac:dyDescent="0.2">
      <c r="A22" t="s">
        <v>16</v>
      </c>
      <c r="B22" s="1">
        <v>0.91</v>
      </c>
      <c r="C22" s="1">
        <v>0.09</v>
      </c>
      <c r="D22">
        <v>2004</v>
      </c>
    </row>
    <row r="23" spans="1:4" x14ac:dyDescent="0.2">
      <c r="A23" t="s">
        <v>4</v>
      </c>
      <c r="B23" s="1">
        <v>0.91</v>
      </c>
      <c r="C23" s="1">
        <v>0.09</v>
      </c>
      <c r="D23">
        <v>2004</v>
      </c>
    </row>
    <row r="24" spans="1:4" x14ac:dyDescent="0.2">
      <c r="A24" t="s">
        <v>33</v>
      </c>
      <c r="B24" s="1">
        <v>0.87</v>
      </c>
      <c r="C24" s="1">
        <v>0.13</v>
      </c>
      <c r="D24">
        <v>2004</v>
      </c>
    </row>
    <row r="25" spans="1:4" x14ac:dyDescent="0.2">
      <c r="A25" t="s">
        <v>47</v>
      </c>
      <c r="B25" s="1">
        <v>0.88</v>
      </c>
      <c r="C25" s="1">
        <v>0.12</v>
      </c>
      <c r="D25">
        <v>2004</v>
      </c>
    </row>
    <row r="26" spans="1:4" x14ac:dyDescent="0.2">
      <c r="A26" t="s">
        <v>38</v>
      </c>
      <c r="B26" s="1">
        <v>0.88</v>
      </c>
      <c r="C26" s="1">
        <v>0.12</v>
      </c>
      <c r="D26">
        <v>2004</v>
      </c>
    </row>
    <row r="27" spans="1:4" x14ac:dyDescent="0.2">
      <c r="A27" t="s">
        <v>30</v>
      </c>
      <c r="B27" s="1">
        <v>0.87</v>
      </c>
      <c r="C27" s="1">
        <v>0.13</v>
      </c>
      <c r="D27">
        <v>2004</v>
      </c>
    </row>
    <row r="28" spans="1:4" x14ac:dyDescent="0.2">
      <c r="A28" t="s">
        <v>32</v>
      </c>
      <c r="B28" s="1">
        <v>0.91</v>
      </c>
      <c r="C28" s="1">
        <v>0.09</v>
      </c>
      <c r="D28">
        <v>2004</v>
      </c>
    </row>
    <row r="29" spans="1:4" x14ac:dyDescent="0.2">
      <c r="A29" t="s">
        <v>37</v>
      </c>
      <c r="B29" s="1">
        <v>0.88</v>
      </c>
      <c r="C29" s="1">
        <v>0.12</v>
      </c>
      <c r="D29">
        <v>2004</v>
      </c>
    </row>
    <row r="30" spans="1:4" x14ac:dyDescent="0.2">
      <c r="A30" t="s">
        <v>10</v>
      </c>
      <c r="B30" s="1">
        <v>0.92</v>
      </c>
      <c r="C30" s="1">
        <v>0.08</v>
      </c>
      <c r="D30">
        <v>2004</v>
      </c>
    </row>
    <row r="31" spans="1:4" x14ac:dyDescent="0.2">
      <c r="A31" t="s">
        <v>3</v>
      </c>
      <c r="B31" s="1">
        <v>0.88</v>
      </c>
      <c r="C31" s="1">
        <v>0.12</v>
      </c>
      <c r="D31">
        <v>2004</v>
      </c>
    </row>
    <row r="32" spans="1:4" x14ac:dyDescent="0.2">
      <c r="A32" t="s">
        <v>11</v>
      </c>
      <c r="B32" s="1">
        <v>0.91</v>
      </c>
      <c r="C32" s="1">
        <v>0.09</v>
      </c>
      <c r="D32">
        <v>2004</v>
      </c>
    </row>
    <row r="33" spans="1:4" x14ac:dyDescent="0.2">
      <c r="A33" t="s">
        <v>29</v>
      </c>
      <c r="B33" s="1">
        <v>0.91</v>
      </c>
      <c r="C33" s="1">
        <v>0.09</v>
      </c>
      <c r="D33">
        <v>2004</v>
      </c>
    </row>
    <row r="34" spans="1:4" x14ac:dyDescent="0.2">
      <c r="A34" t="s">
        <v>26</v>
      </c>
      <c r="B34" s="1">
        <v>0.89</v>
      </c>
      <c r="C34" s="1">
        <v>0.11</v>
      </c>
      <c r="D34">
        <v>2004</v>
      </c>
    </row>
    <row r="35" spans="1:4" x14ac:dyDescent="0.2">
      <c r="A35" t="s">
        <v>15</v>
      </c>
      <c r="B35" s="1">
        <v>0.87</v>
      </c>
      <c r="C35" s="1">
        <v>0.13</v>
      </c>
      <c r="D35">
        <v>2004</v>
      </c>
    </row>
    <row r="36" spans="1:4" x14ac:dyDescent="0.2">
      <c r="A36" t="s">
        <v>46</v>
      </c>
      <c r="B36" s="1">
        <v>0.84</v>
      </c>
      <c r="C36" s="1">
        <v>0.16</v>
      </c>
      <c r="D36">
        <v>2004</v>
      </c>
    </row>
    <row r="37" spans="1:4" x14ac:dyDescent="0.2">
      <c r="A37" t="s">
        <v>1</v>
      </c>
      <c r="B37" s="1">
        <v>0.88</v>
      </c>
      <c r="C37" s="1">
        <v>0.12</v>
      </c>
      <c r="D37">
        <v>2004</v>
      </c>
    </row>
    <row r="38" spans="1:4" x14ac:dyDescent="0.2">
      <c r="A38" t="s">
        <v>41</v>
      </c>
      <c r="B38" s="1">
        <v>0.85</v>
      </c>
      <c r="C38" s="1">
        <v>0.15</v>
      </c>
      <c r="D38">
        <v>2004</v>
      </c>
    </row>
    <row r="39" spans="1:4" x14ac:dyDescent="0.2">
      <c r="A39" t="s">
        <v>31</v>
      </c>
      <c r="B39" s="1">
        <v>0.91</v>
      </c>
      <c r="C39" s="1">
        <v>0.09</v>
      </c>
      <c r="D39">
        <v>2004</v>
      </c>
    </row>
    <row r="40" spans="1:4" x14ac:dyDescent="0.2">
      <c r="A40" t="s">
        <v>17</v>
      </c>
      <c r="B40" s="1">
        <v>0.9</v>
      </c>
      <c r="C40" s="1">
        <v>0.1</v>
      </c>
      <c r="D40">
        <v>2004</v>
      </c>
    </row>
    <row r="41" spans="1:4" x14ac:dyDescent="0.2">
      <c r="A41" t="s">
        <v>7</v>
      </c>
      <c r="B41" s="1">
        <v>0.89</v>
      </c>
      <c r="C41" s="1">
        <v>0.11</v>
      </c>
      <c r="D41">
        <v>2004</v>
      </c>
    </row>
    <row r="42" spans="1:4" x14ac:dyDescent="0.2">
      <c r="A42" t="s">
        <v>39</v>
      </c>
      <c r="B42" s="1">
        <v>0.88</v>
      </c>
      <c r="C42" s="1">
        <v>0.12</v>
      </c>
      <c r="D42">
        <v>2004</v>
      </c>
    </row>
    <row r="43" spans="1:4" x14ac:dyDescent="0.2">
      <c r="A43" t="s">
        <v>43</v>
      </c>
      <c r="B43" s="1">
        <v>0.8</v>
      </c>
      <c r="C43" s="1">
        <v>0.2</v>
      </c>
      <c r="D43">
        <v>2004</v>
      </c>
    </row>
    <row r="44" spans="1:4" x14ac:dyDescent="0.2">
      <c r="A44" t="s">
        <v>36</v>
      </c>
      <c r="B44" s="1">
        <v>0.86</v>
      </c>
      <c r="C44" s="1">
        <v>0.14000000000000001</v>
      </c>
      <c r="D44">
        <v>2004</v>
      </c>
    </row>
    <row r="45" spans="1:4" x14ac:dyDescent="0.2">
      <c r="A45" t="s">
        <v>48</v>
      </c>
      <c r="B45" s="1">
        <v>0.87</v>
      </c>
      <c r="C45" s="1">
        <v>0.13</v>
      </c>
      <c r="D45">
        <v>2004</v>
      </c>
    </row>
    <row r="46" spans="1:4" x14ac:dyDescent="0.2">
      <c r="A46" t="s">
        <v>0</v>
      </c>
      <c r="B46" s="1">
        <v>0.9</v>
      </c>
      <c r="C46" s="1">
        <v>0.1</v>
      </c>
      <c r="D46">
        <v>2004</v>
      </c>
    </row>
    <row r="47" spans="1:4" x14ac:dyDescent="0.2">
      <c r="A47" t="s">
        <v>9</v>
      </c>
      <c r="B47" s="1">
        <v>0.94</v>
      </c>
      <c r="C47" s="1">
        <v>0.06</v>
      </c>
      <c r="D47">
        <v>2004</v>
      </c>
    </row>
    <row r="48" spans="1:4" x14ac:dyDescent="0.2">
      <c r="A48" t="s">
        <v>2</v>
      </c>
      <c r="B48" s="1">
        <v>0.91</v>
      </c>
      <c r="C48" s="1">
        <v>0.09</v>
      </c>
      <c r="D48">
        <v>2004</v>
      </c>
    </row>
    <row r="49" spans="1:4" x14ac:dyDescent="0.2">
      <c r="A49" t="s">
        <v>40</v>
      </c>
      <c r="B49" s="1">
        <v>0.89</v>
      </c>
      <c r="C49" s="1">
        <v>0.11</v>
      </c>
      <c r="D49">
        <v>2004</v>
      </c>
    </row>
    <row r="50" spans="1:4" x14ac:dyDescent="0.2">
      <c r="A50" t="s">
        <v>13</v>
      </c>
      <c r="B50" s="1">
        <v>0.88</v>
      </c>
      <c r="C50" s="1">
        <v>0.12</v>
      </c>
      <c r="D50">
        <v>2004</v>
      </c>
    </row>
    <row r="51" spans="1:4" x14ac:dyDescent="0.2">
      <c r="A51" t="s">
        <v>25</v>
      </c>
      <c r="B51" s="1">
        <v>0.89</v>
      </c>
      <c r="C51" s="1">
        <v>0.11</v>
      </c>
      <c r="D51">
        <v>2004</v>
      </c>
    </row>
    <row r="52" spans="1:4" x14ac:dyDescent="0.2">
      <c r="A52" t="s">
        <v>45</v>
      </c>
      <c r="B52" s="1">
        <v>0.93</v>
      </c>
      <c r="C52" s="1">
        <v>7.0000000000000007E-2</v>
      </c>
      <c r="D52">
        <v>2004</v>
      </c>
    </row>
    <row r="53" spans="1:4" x14ac:dyDescent="0.2">
      <c r="B53" s="1"/>
      <c r="C53" s="1"/>
    </row>
    <row r="54" spans="1:4" x14ac:dyDescent="0.2">
      <c r="B54" s="1"/>
      <c r="C54" s="1"/>
    </row>
  </sheetData>
  <sortState xmlns:xlrd2="http://schemas.microsoft.com/office/spreadsheetml/2017/richdata2" ref="A2:C54">
    <sortCondition ref="A13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54"/>
  <sheetViews>
    <sheetView workbookViewId="0">
      <selection activeCell="I4" sqref="I4:I54"/>
    </sheetView>
  </sheetViews>
  <sheetFormatPr baseColWidth="10" defaultRowHeight="16" x14ac:dyDescent="0.2"/>
  <cols>
    <col min="2" max="2" width="20" customWidth="1"/>
    <col min="3" max="3" width="20.1640625" customWidth="1"/>
    <col min="4" max="4" width="26.33203125" customWidth="1"/>
    <col min="5" max="5" width="16" customWidth="1"/>
    <col min="6" max="6" width="14.6640625" customWidth="1"/>
    <col min="7" max="7" width="19.5" customWidth="1"/>
    <col min="8" max="8" width="17.1640625" customWidth="1"/>
    <col min="9" max="9" width="17.33203125" customWidth="1"/>
    <col min="10" max="10" width="17.1640625" customWidth="1"/>
    <col min="11" max="11" width="17" customWidth="1"/>
  </cols>
  <sheetData>
    <row r="1" spans="1:11" x14ac:dyDescent="0.2">
      <c r="A1" s="2" t="s">
        <v>53</v>
      </c>
      <c r="B1" s="2">
        <v>2016</v>
      </c>
      <c r="D1" s="2">
        <v>2012</v>
      </c>
      <c r="F1" s="2">
        <v>2008</v>
      </c>
      <c r="H1" s="2">
        <v>2004</v>
      </c>
      <c r="J1" s="2">
        <v>2000</v>
      </c>
    </row>
    <row r="2" spans="1:11" x14ac:dyDescent="0.2">
      <c r="A2" s="2" t="s">
        <v>54</v>
      </c>
      <c r="B2" s="2" t="s">
        <v>55</v>
      </c>
      <c r="C2" s="2" t="s">
        <v>56</v>
      </c>
      <c r="D2" s="2" t="s">
        <v>57</v>
      </c>
      <c r="E2" s="2" t="s">
        <v>58</v>
      </c>
      <c r="F2" s="2" t="s">
        <v>57</v>
      </c>
      <c r="G2" s="2" t="s">
        <v>59</v>
      </c>
      <c r="H2" s="2" t="s">
        <v>60</v>
      </c>
      <c r="I2" s="2" t="s">
        <v>61</v>
      </c>
      <c r="J2" s="2" t="s">
        <v>62</v>
      </c>
      <c r="K2" s="2" t="s">
        <v>61</v>
      </c>
    </row>
    <row r="3" spans="1:11" x14ac:dyDescent="0.2">
      <c r="A3" s="2" t="s">
        <v>63</v>
      </c>
      <c r="B3" s="2">
        <v>51.1</v>
      </c>
      <c r="C3" s="2">
        <v>48.9</v>
      </c>
      <c r="D3" s="2">
        <v>52</v>
      </c>
      <c r="E3" s="2">
        <v>48</v>
      </c>
      <c r="F3" s="2">
        <v>53.7</v>
      </c>
      <c r="G3" s="2">
        <v>46.3</v>
      </c>
      <c r="H3" s="2">
        <v>48.8</v>
      </c>
      <c r="I3" s="2">
        <v>51.2</v>
      </c>
      <c r="J3" s="2">
        <v>50.3</v>
      </c>
      <c r="K3" s="2">
        <v>49.7</v>
      </c>
    </row>
    <row r="4" spans="1:11" x14ac:dyDescent="0.2">
      <c r="A4" s="3" t="s">
        <v>22</v>
      </c>
      <c r="B4" s="2">
        <v>35.6</v>
      </c>
      <c r="C4" s="2">
        <v>64.400000000000006</v>
      </c>
      <c r="D4" s="2">
        <v>38.799999999999997</v>
      </c>
      <c r="E4" s="2">
        <v>61.2</v>
      </c>
      <c r="F4" s="2">
        <v>39.1</v>
      </c>
      <c r="G4" s="2">
        <v>60.9</v>
      </c>
      <c r="H4" s="2">
        <v>37.1</v>
      </c>
      <c r="I4" s="2">
        <v>62.9</v>
      </c>
      <c r="J4" s="2">
        <v>42.4</v>
      </c>
      <c r="K4" s="2">
        <v>57.6</v>
      </c>
    </row>
    <row r="5" spans="1:11" x14ac:dyDescent="0.2">
      <c r="A5" s="2" t="s">
        <v>49</v>
      </c>
      <c r="B5" s="2">
        <v>41.6</v>
      </c>
      <c r="C5" s="2">
        <v>58.4</v>
      </c>
      <c r="D5" s="2">
        <v>42.7</v>
      </c>
      <c r="E5" s="2">
        <v>57.3</v>
      </c>
      <c r="F5" s="2">
        <v>38.9</v>
      </c>
      <c r="G5" s="2">
        <v>61.1</v>
      </c>
      <c r="H5" s="2">
        <v>36.799999999999997</v>
      </c>
      <c r="I5" s="2">
        <v>63.2</v>
      </c>
      <c r="J5" s="2">
        <v>32.1</v>
      </c>
      <c r="K5" s="2">
        <v>67.900000000000006</v>
      </c>
    </row>
    <row r="6" spans="1:11" x14ac:dyDescent="0.2">
      <c r="A6" s="2" t="s">
        <v>28</v>
      </c>
      <c r="B6" s="2">
        <v>48.1</v>
      </c>
      <c r="C6" s="2">
        <v>51.9</v>
      </c>
      <c r="D6" s="2">
        <v>45.4</v>
      </c>
      <c r="E6" s="2">
        <v>54.6</v>
      </c>
      <c r="F6" s="2">
        <v>45.7</v>
      </c>
      <c r="G6" s="2">
        <v>54.3</v>
      </c>
      <c r="H6" s="2">
        <v>44.7</v>
      </c>
      <c r="I6" s="2">
        <v>55.3</v>
      </c>
      <c r="J6" s="2">
        <v>46.7</v>
      </c>
      <c r="K6" s="2">
        <v>53.3</v>
      </c>
    </row>
    <row r="7" spans="1:11" x14ac:dyDescent="0.2">
      <c r="A7" s="3" t="s">
        <v>35</v>
      </c>
      <c r="B7" s="2">
        <v>35.700000000000003</v>
      </c>
      <c r="C7" s="2">
        <v>64.3</v>
      </c>
      <c r="D7" s="2">
        <v>37.799999999999997</v>
      </c>
      <c r="E7" s="2">
        <v>62.2</v>
      </c>
      <c r="F7" s="2">
        <v>39.799999999999997</v>
      </c>
      <c r="G7" s="2">
        <v>60.2</v>
      </c>
      <c r="H7" s="2">
        <v>45.1</v>
      </c>
      <c r="I7" s="2">
        <v>54.9</v>
      </c>
      <c r="J7" s="2">
        <v>47.2</v>
      </c>
      <c r="K7" s="2">
        <v>52.8</v>
      </c>
    </row>
    <row r="8" spans="1:11" x14ac:dyDescent="0.2">
      <c r="A8" s="2" t="s">
        <v>44</v>
      </c>
      <c r="B8" s="2">
        <v>66.099999999999994</v>
      </c>
      <c r="C8" s="2">
        <v>33.9</v>
      </c>
      <c r="D8" s="2">
        <v>61.9</v>
      </c>
      <c r="E8" s="2">
        <v>38.1</v>
      </c>
      <c r="F8" s="2">
        <v>62.3</v>
      </c>
      <c r="G8" s="2">
        <v>37.700000000000003</v>
      </c>
      <c r="H8" s="2">
        <v>55</v>
      </c>
      <c r="I8" s="2">
        <v>45</v>
      </c>
      <c r="J8" s="2">
        <v>56.2</v>
      </c>
      <c r="K8" s="2">
        <v>43.8</v>
      </c>
    </row>
    <row r="9" spans="1:11" x14ac:dyDescent="0.2">
      <c r="A9" s="2" t="s">
        <v>12</v>
      </c>
      <c r="B9" s="2">
        <v>52.7</v>
      </c>
      <c r="C9" s="2">
        <v>47.3</v>
      </c>
      <c r="D9" s="2">
        <v>52.7</v>
      </c>
      <c r="E9" s="2">
        <v>47.3</v>
      </c>
      <c r="F9" s="2">
        <v>54.6</v>
      </c>
      <c r="G9" s="2">
        <v>45.4</v>
      </c>
      <c r="H9" s="2">
        <v>47.6</v>
      </c>
      <c r="I9" s="2">
        <v>52.4</v>
      </c>
      <c r="J9" s="2">
        <v>45.5</v>
      </c>
      <c r="K9" s="2">
        <v>54.5</v>
      </c>
    </row>
    <row r="10" spans="1:11" x14ac:dyDescent="0.2">
      <c r="A10" s="2" t="s">
        <v>20</v>
      </c>
      <c r="B10" s="2">
        <v>57.1</v>
      </c>
      <c r="C10" s="2">
        <v>42.9</v>
      </c>
      <c r="D10" s="2">
        <v>58.8</v>
      </c>
      <c r="E10" s="2">
        <v>41.2</v>
      </c>
      <c r="F10" s="2">
        <v>61.3</v>
      </c>
      <c r="G10" s="2">
        <v>38.700000000000003</v>
      </c>
      <c r="H10" s="2">
        <v>55.3</v>
      </c>
      <c r="I10" s="2">
        <v>44.7</v>
      </c>
      <c r="J10" s="2">
        <v>59.3</v>
      </c>
      <c r="K10" s="2">
        <v>40.700000000000003</v>
      </c>
    </row>
    <row r="11" spans="1:11" x14ac:dyDescent="0.2">
      <c r="A11" s="2" t="s">
        <v>24</v>
      </c>
      <c r="B11" s="2">
        <v>56</v>
      </c>
      <c r="C11" s="2">
        <v>44</v>
      </c>
      <c r="D11" s="2">
        <v>59.4</v>
      </c>
      <c r="E11" s="2">
        <v>40.6</v>
      </c>
      <c r="F11" s="2">
        <v>62.6</v>
      </c>
      <c r="G11" s="2">
        <v>37.4</v>
      </c>
      <c r="H11" s="2">
        <v>53.8</v>
      </c>
      <c r="I11" s="2">
        <v>46.2</v>
      </c>
      <c r="J11" s="2">
        <v>56.7</v>
      </c>
      <c r="K11" s="2">
        <v>43.3</v>
      </c>
    </row>
    <row r="12" spans="1:11" x14ac:dyDescent="0.2">
      <c r="A12" s="3" t="s">
        <v>6</v>
      </c>
      <c r="B12" s="2">
        <v>95.7</v>
      </c>
      <c r="C12" s="2">
        <v>4.3</v>
      </c>
      <c r="D12" s="2">
        <v>92.6</v>
      </c>
      <c r="E12" s="2">
        <v>7.4</v>
      </c>
      <c r="F12" s="2">
        <v>93.4</v>
      </c>
      <c r="G12" s="2">
        <v>6.6</v>
      </c>
      <c r="H12" s="2">
        <v>90.5</v>
      </c>
      <c r="I12" s="2">
        <v>9.5</v>
      </c>
      <c r="J12" s="2">
        <v>90.5</v>
      </c>
      <c r="K12" s="2">
        <v>9.5</v>
      </c>
    </row>
    <row r="13" spans="1:11" x14ac:dyDescent="0.2">
      <c r="A13" s="3" t="s">
        <v>14</v>
      </c>
      <c r="B13" s="2">
        <v>49.4</v>
      </c>
      <c r="C13" s="2">
        <v>50.6</v>
      </c>
      <c r="D13" s="2">
        <v>50.4</v>
      </c>
      <c r="E13" s="2">
        <v>49.6</v>
      </c>
      <c r="F13" s="2">
        <v>51.4</v>
      </c>
      <c r="G13" s="2">
        <v>48.6</v>
      </c>
      <c r="H13" s="2">
        <v>47.5</v>
      </c>
      <c r="I13" s="2">
        <v>52.5</v>
      </c>
      <c r="J13" s="2">
        <v>50</v>
      </c>
      <c r="K13" s="2">
        <v>50</v>
      </c>
    </row>
    <row r="14" spans="1:11" x14ac:dyDescent="0.2">
      <c r="A14" s="3" t="s">
        <v>34</v>
      </c>
      <c r="B14" s="2">
        <v>47.3</v>
      </c>
      <c r="C14" s="2">
        <v>52.7</v>
      </c>
      <c r="D14" s="2">
        <v>46</v>
      </c>
      <c r="E14" s="2">
        <v>54</v>
      </c>
      <c r="F14" s="2">
        <v>47.4</v>
      </c>
      <c r="G14" s="2">
        <v>52.6</v>
      </c>
      <c r="H14" s="2">
        <v>41.6</v>
      </c>
      <c r="I14" s="2">
        <v>58.4</v>
      </c>
      <c r="J14" s="2">
        <v>44</v>
      </c>
      <c r="K14" s="2">
        <v>56</v>
      </c>
    </row>
    <row r="15" spans="1:11" x14ac:dyDescent="0.2">
      <c r="A15" s="2" t="s">
        <v>50</v>
      </c>
      <c r="B15" s="2">
        <v>67.400000000000006</v>
      </c>
      <c r="C15" s="2">
        <v>32.6</v>
      </c>
      <c r="D15" s="2">
        <v>71.7</v>
      </c>
      <c r="E15" s="2">
        <v>28.3</v>
      </c>
      <c r="F15" s="2">
        <v>73</v>
      </c>
      <c r="G15" s="2">
        <v>27</v>
      </c>
      <c r="H15" s="2">
        <v>54.4</v>
      </c>
      <c r="I15" s="2">
        <v>45.6</v>
      </c>
      <c r="J15" s="2">
        <v>59.8</v>
      </c>
      <c r="K15" s="2">
        <v>40.200000000000003</v>
      </c>
    </row>
    <row r="16" spans="1:11" x14ac:dyDescent="0.2">
      <c r="A16" s="2" t="s">
        <v>8</v>
      </c>
      <c r="B16" s="2">
        <v>31.7</v>
      </c>
      <c r="C16" s="2">
        <v>68.3</v>
      </c>
      <c r="D16" s="2">
        <v>33.6</v>
      </c>
      <c r="E16" s="2">
        <v>66.400000000000006</v>
      </c>
      <c r="F16" s="2">
        <v>37</v>
      </c>
      <c r="G16" s="2">
        <v>63</v>
      </c>
      <c r="H16" s="2">
        <v>30.7</v>
      </c>
      <c r="I16" s="2">
        <v>69.3</v>
      </c>
      <c r="J16" s="2">
        <v>29.2</v>
      </c>
      <c r="K16" s="2">
        <v>70.8</v>
      </c>
    </row>
    <row r="17" spans="1:11" x14ac:dyDescent="0.2">
      <c r="A17" s="3" t="s">
        <v>27</v>
      </c>
      <c r="B17" s="2">
        <v>59</v>
      </c>
      <c r="C17" s="2">
        <v>41</v>
      </c>
      <c r="D17" s="2">
        <v>58.6</v>
      </c>
      <c r="E17" s="2">
        <v>41.4</v>
      </c>
      <c r="F17" s="2">
        <v>62.7</v>
      </c>
      <c r="G17" s="2">
        <v>37.299999999999997</v>
      </c>
      <c r="H17" s="2">
        <v>55.2</v>
      </c>
      <c r="I17" s="2">
        <v>44.8</v>
      </c>
      <c r="J17" s="2">
        <v>56.2</v>
      </c>
      <c r="K17" s="2">
        <v>43.8</v>
      </c>
    </row>
    <row r="18" spans="1:11" x14ac:dyDescent="0.2">
      <c r="A18" s="3" t="s">
        <v>21</v>
      </c>
      <c r="B18" s="2">
        <v>39.9</v>
      </c>
      <c r="C18" s="2">
        <v>60.1</v>
      </c>
      <c r="D18" s="2">
        <v>44.8</v>
      </c>
      <c r="E18" s="2">
        <v>55.2</v>
      </c>
      <c r="F18" s="2">
        <v>50.5</v>
      </c>
      <c r="G18" s="2">
        <v>49.5</v>
      </c>
      <c r="H18" s="2">
        <v>39.6</v>
      </c>
      <c r="I18" s="2">
        <v>60.4</v>
      </c>
      <c r="J18" s="2">
        <v>42</v>
      </c>
      <c r="K18" s="2">
        <v>58</v>
      </c>
    </row>
    <row r="19" spans="1:11" x14ac:dyDescent="0.2">
      <c r="A19" s="3" t="s">
        <v>5</v>
      </c>
      <c r="B19" s="2">
        <v>44.9</v>
      </c>
      <c r="C19" s="2">
        <v>55.1</v>
      </c>
      <c r="D19" s="2">
        <v>53</v>
      </c>
      <c r="E19" s="2">
        <v>47</v>
      </c>
      <c r="F19" s="2">
        <v>54.8</v>
      </c>
      <c r="G19" s="2">
        <v>45.2</v>
      </c>
      <c r="H19" s="2">
        <v>49.7</v>
      </c>
      <c r="I19" s="2">
        <v>50.3</v>
      </c>
      <c r="J19" s="2">
        <v>50.2</v>
      </c>
      <c r="K19" s="2">
        <v>49.8</v>
      </c>
    </row>
    <row r="20" spans="1:11" x14ac:dyDescent="0.2">
      <c r="A20" s="3" t="s">
        <v>23</v>
      </c>
      <c r="B20" s="2">
        <v>38.9</v>
      </c>
      <c r="C20" s="2">
        <v>61.1</v>
      </c>
      <c r="D20" s="2">
        <v>38.9</v>
      </c>
      <c r="E20" s="2">
        <v>61.1</v>
      </c>
      <c r="F20" s="2">
        <v>42.4</v>
      </c>
      <c r="G20" s="2">
        <v>57.6</v>
      </c>
      <c r="H20" s="2">
        <v>37.1</v>
      </c>
      <c r="I20" s="2">
        <v>62.9</v>
      </c>
      <c r="J20" s="2">
        <v>39.1</v>
      </c>
      <c r="K20" s="2">
        <v>60.9</v>
      </c>
    </row>
    <row r="21" spans="1:11" x14ac:dyDescent="0.2">
      <c r="A21" s="3" t="s">
        <v>18</v>
      </c>
      <c r="B21" s="2">
        <v>34.299999999999997</v>
      </c>
      <c r="C21" s="2">
        <v>65.7</v>
      </c>
      <c r="D21" s="2">
        <v>38.5</v>
      </c>
      <c r="E21" s="2">
        <v>61.5</v>
      </c>
      <c r="F21" s="2">
        <v>41.8</v>
      </c>
      <c r="G21" s="2">
        <v>58.2</v>
      </c>
      <c r="H21" s="2">
        <v>40</v>
      </c>
      <c r="I21" s="2">
        <v>60</v>
      </c>
      <c r="J21" s="2">
        <v>42.3</v>
      </c>
      <c r="K21" s="2">
        <v>57.7</v>
      </c>
    </row>
    <row r="22" spans="1:11" x14ac:dyDescent="0.2">
      <c r="A22" s="3" t="s">
        <v>42</v>
      </c>
      <c r="B22" s="2">
        <v>39.799999999999997</v>
      </c>
      <c r="C22" s="2">
        <v>60.2</v>
      </c>
      <c r="D22" s="2">
        <v>41.3</v>
      </c>
      <c r="E22" s="2">
        <v>58.7</v>
      </c>
      <c r="F22" s="2">
        <v>40.5</v>
      </c>
      <c r="G22" s="2">
        <v>59.5</v>
      </c>
      <c r="H22" s="2">
        <v>42.7</v>
      </c>
      <c r="I22" s="2">
        <v>57.3</v>
      </c>
      <c r="J22" s="2">
        <v>46.1</v>
      </c>
      <c r="K22" s="2">
        <v>53.9</v>
      </c>
    </row>
    <row r="23" spans="1:11" x14ac:dyDescent="0.2">
      <c r="A23" s="3" t="s">
        <v>19</v>
      </c>
      <c r="B23" s="2">
        <v>51.6</v>
      </c>
      <c r="C23" s="2">
        <v>48.4</v>
      </c>
      <c r="D23" s="2">
        <v>57.9</v>
      </c>
      <c r="E23" s="2">
        <v>42.1</v>
      </c>
      <c r="F23" s="2">
        <v>58.8</v>
      </c>
      <c r="G23" s="2">
        <v>41.2</v>
      </c>
      <c r="H23" s="2">
        <v>54.6</v>
      </c>
      <c r="I23" s="2">
        <v>45.4</v>
      </c>
      <c r="J23" s="2">
        <v>52.7</v>
      </c>
      <c r="K23" s="2">
        <v>47.3</v>
      </c>
    </row>
    <row r="24" spans="1:11" x14ac:dyDescent="0.2">
      <c r="A24" s="3" t="s">
        <v>16</v>
      </c>
      <c r="B24" s="2">
        <v>64</v>
      </c>
      <c r="C24" s="2">
        <v>36</v>
      </c>
      <c r="D24" s="2">
        <v>63.3</v>
      </c>
      <c r="E24" s="2">
        <v>36.700000000000003</v>
      </c>
      <c r="F24" s="2">
        <v>62.9</v>
      </c>
      <c r="G24" s="2">
        <v>37.1</v>
      </c>
      <c r="H24" s="2">
        <v>56.6</v>
      </c>
      <c r="I24" s="2">
        <v>43.4</v>
      </c>
      <c r="J24" s="2">
        <v>58.5</v>
      </c>
      <c r="K24" s="2">
        <v>41.5</v>
      </c>
    </row>
    <row r="25" spans="1:11" x14ac:dyDescent="0.2">
      <c r="A25" s="3" t="s">
        <v>4</v>
      </c>
      <c r="B25" s="2">
        <v>64.7</v>
      </c>
      <c r="C25" s="2">
        <v>35.299999999999997</v>
      </c>
      <c r="D25" s="2">
        <v>61.8</v>
      </c>
      <c r="E25" s="2">
        <v>38.200000000000003</v>
      </c>
      <c r="F25" s="2">
        <v>63.2</v>
      </c>
      <c r="G25" s="2">
        <v>36.799999999999997</v>
      </c>
      <c r="H25" s="2">
        <v>62.7</v>
      </c>
      <c r="I25" s="2">
        <v>37.299999999999997</v>
      </c>
      <c r="J25" s="2">
        <v>64.8</v>
      </c>
      <c r="K25" s="2">
        <v>35.200000000000003</v>
      </c>
    </row>
    <row r="26" spans="1:11" x14ac:dyDescent="0.2">
      <c r="A26" s="3" t="s">
        <v>33</v>
      </c>
      <c r="B26" s="2">
        <v>49.9</v>
      </c>
      <c r="C26" s="2">
        <v>50.1</v>
      </c>
      <c r="D26" s="2">
        <v>54.8</v>
      </c>
      <c r="E26" s="2">
        <v>45.2</v>
      </c>
      <c r="F26" s="2">
        <v>58.4</v>
      </c>
      <c r="G26" s="2">
        <v>41.6</v>
      </c>
      <c r="H26" s="2">
        <v>51.7</v>
      </c>
      <c r="I26" s="2">
        <v>48.3</v>
      </c>
      <c r="J26" s="2">
        <v>52.6</v>
      </c>
      <c r="K26" s="2">
        <v>47.4</v>
      </c>
    </row>
    <row r="27" spans="1:11" x14ac:dyDescent="0.2">
      <c r="A27" s="3" t="s">
        <v>47</v>
      </c>
      <c r="B27" s="2">
        <v>50.8</v>
      </c>
      <c r="C27" s="2">
        <v>49.2</v>
      </c>
      <c r="D27" s="2">
        <v>53.9</v>
      </c>
      <c r="E27" s="2">
        <v>46.1</v>
      </c>
      <c r="F27" s="2">
        <v>55.2</v>
      </c>
      <c r="G27" s="2">
        <v>44.8</v>
      </c>
      <c r="H27" s="2">
        <v>51.8</v>
      </c>
      <c r="I27" s="2">
        <v>48.2</v>
      </c>
      <c r="J27" s="2">
        <v>51.3</v>
      </c>
      <c r="K27" s="2">
        <v>48.7</v>
      </c>
    </row>
    <row r="28" spans="1:11" x14ac:dyDescent="0.2">
      <c r="A28" s="3" t="s">
        <v>38</v>
      </c>
      <c r="B28" s="2">
        <v>40.9</v>
      </c>
      <c r="C28" s="2">
        <v>59.1</v>
      </c>
      <c r="D28" s="2">
        <v>44.2</v>
      </c>
      <c r="E28" s="2">
        <v>55.8</v>
      </c>
      <c r="F28" s="2">
        <v>43.4</v>
      </c>
      <c r="G28" s="2">
        <v>56.6</v>
      </c>
      <c r="H28" s="2">
        <v>40.1</v>
      </c>
      <c r="I28" s="2">
        <v>59.9</v>
      </c>
      <c r="J28" s="2">
        <v>41.4</v>
      </c>
      <c r="K28" s="2">
        <v>58.6</v>
      </c>
    </row>
    <row r="29" spans="1:11" x14ac:dyDescent="0.2">
      <c r="A29" s="3" t="s">
        <v>30</v>
      </c>
      <c r="B29" s="2">
        <v>40.200000000000003</v>
      </c>
      <c r="C29" s="2">
        <v>59.8</v>
      </c>
      <c r="D29" s="2">
        <v>45.2</v>
      </c>
      <c r="E29" s="2">
        <v>54.8</v>
      </c>
      <c r="F29" s="2">
        <v>49.9</v>
      </c>
      <c r="G29" s="2">
        <v>50.1</v>
      </c>
      <c r="H29" s="2">
        <v>46.4</v>
      </c>
      <c r="I29" s="2">
        <v>53.6</v>
      </c>
      <c r="J29" s="2">
        <v>48.3</v>
      </c>
      <c r="K29" s="2">
        <v>51.7</v>
      </c>
    </row>
    <row r="30" spans="1:11" x14ac:dyDescent="0.2">
      <c r="A30" s="2" t="s">
        <v>32</v>
      </c>
      <c r="B30" s="2">
        <v>38.9</v>
      </c>
      <c r="C30" s="2">
        <v>61.1</v>
      </c>
      <c r="D30" s="2">
        <v>43</v>
      </c>
      <c r="E30" s="2">
        <v>57</v>
      </c>
      <c r="F30" s="2">
        <v>48.8</v>
      </c>
      <c r="G30" s="2">
        <v>51.2</v>
      </c>
      <c r="H30" s="2">
        <v>39.5</v>
      </c>
      <c r="I30" s="2">
        <v>60.5</v>
      </c>
      <c r="J30" s="2">
        <v>36.299999999999997</v>
      </c>
      <c r="K30" s="2">
        <v>63.7</v>
      </c>
    </row>
    <row r="31" spans="1:11" x14ac:dyDescent="0.2">
      <c r="A31" s="3" t="s">
        <v>37</v>
      </c>
      <c r="B31" s="2">
        <v>36.5</v>
      </c>
      <c r="C31" s="2">
        <v>63.5</v>
      </c>
      <c r="D31" s="2">
        <v>38.9</v>
      </c>
      <c r="E31" s="2">
        <v>61.1</v>
      </c>
      <c r="F31" s="2">
        <v>42.4</v>
      </c>
      <c r="G31" s="2">
        <v>57.6</v>
      </c>
      <c r="H31" s="2">
        <v>33.200000000000003</v>
      </c>
      <c r="I31" s="2">
        <v>66.8</v>
      </c>
      <c r="J31" s="2">
        <v>34.799999999999997</v>
      </c>
      <c r="K31" s="2">
        <v>65.2</v>
      </c>
    </row>
    <row r="32" spans="1:11" x14ac:dyDescent="0.2">
      <c r="A32" s="2" t="s">
        <v>10</v>
      </c>
      <c r="B32" s="2">
        <v>51.3</v>
      </c>
      <c r="C32" s="2">
        <v>48.7</v>
      </c>
      <c r="D32" s="2">
        <v>53.4</v>
      </c>
      <c r="E32" s="2">
        <v>46.6</v>
      </c>
      <c r="F32" s="2">
        <v>56.4</v>
      </c>
      <c r="G32" s="2">
        <v>43.6</v>
      </c>
      <c r="H32" s="2">
        <v>48.7</v>
      </c>
      <c r="I32" s="2">
        <v>51.3</v>
      </c>
      <c r="J32" s="2">
        <v>48.1</v>
      </c>
      <c r="K32" s="2">
        <v>51.9</v>
      </c>
    </row>
    <row r="33" spans="1:11" x14ac:dyDescent="0.2">
      <c r="A33" s="3" t="s">
        <v>3</v>
      </c>
      <c r="B33" s="2">
        <v>50.2</v>
      </c>
      <c r="C33" s="2">
        <v>49.8</v>
      </c>
      <c r="D33" s="2">
        <v>52.8</v>
      </c>
      <c r="E33" s="2">
        <v>47.2</v>
      </c>
      <c r="F33" s="2">
        <v>54.9</v>
      </c>
      <c r="G33" s="2">
        <v>45.1</v>
      </c>
      <c r="H33" s="2">
        <v>50.7</v>
      </c>
      <c r="I33" s="2">
        <v>49.3</v>
      </c>
      <c r="J33" s="2">
        <v>49.3</v>
      </c>
      <c r="K33" s="2">
        <v>50.7</v>
      </c>
    </row>
    <row r="34" spans="1:11" x14ac:dyDescent="0.2">
      <c r="A34" s="3" t="s">
        <v>11</v>
      </c>
      <c r="B34" s="2">
        <v>57.3</v>
      </c>
      <c r="C34" s="2">
        <v>42.7</v>
      </c>
      <c r="D34" s="2">
        <v>59</v>
      </c>
      <c r="E34" s="2">
        <v>41</v>
      </c>
      <c r="F34" s="2">
        <v>57.9</v>
      </c>
      <c r="G34" s="2">
        <v>42.1</v>
      </c>
      <c r="H34" s="2">
        <v>53.4</v>
      </c>
      <c r="I34" s="2">
        <v>46.6</v>
      </c>
      <c r="J34" s="2">
        <v>58.2</v>
      </c>
      <c r="K34" s="2">
        <v>41.8</v>
      </c>
    </row>
    <row r="35" spans="1:11" x14ac:dyDescent="0.2">
      <c r="A35" s="2" t="s">
        <v>29</v>
      </c>
      <c r="B35" s="2">
        <v>54.7</v>
      </c>
      <c r="C35" s="2">
        <v>45.3</v>
      </c>
      <c r="D35" s="2">
        <v>55.3</v>
      </c>
      <c r="E35" s="2">
        <v>44.7</v>
      </c>
      <c r="F35" s="2">
        <v>57.7</v>
      </c>
      <c r="G35" s="2">
        <v>42.3</v>
      </c>
      <c r="H35" s="2">
        <v>49.6</v>
      </c>
      <c r="I35" s="2">
        <v>50.4</v>
      </c>
      <c r="J35" s="2">
        <v>50</v>
      </c>
      <c r="K35" s="2">
        <v>50</v>
      </c>
    </row>
    <row r="36" spans="1:11" x14ac:dyDescent="0.2">
      <c r="A36" s="3" t="s">
        <v>26</v>
      </c>
      <c r="B36" s="2">
        <v>61.8</v>
      </c>
      <c r="C36" s="2">
        <v>38.200000000000003</v>
      </c>
      <c r="D36" s="2">
        <v>64.3</v>
      </c>
      <c r="E36" s="2">
        <v>35.700000000000003</v>
      </c>
      <c r="F36" s="2">
        <v>63.6</v>
      </c>
      <c r="G36" s="2">
        <v>36.4</v>
      </c>
      <c r="H36" s="2">
        <v>59.3</v>
      </c>
      <c r="I36" s="2">
        <v>40.700000000000003</v>
      </c>
      <c r="J36" s="2">
        <v>63.1</v>
      </c>
      <c r="K36" s="2">
        <v>36.9</v>
      </c>
    </row>
    <row r="37" spans="1:11" x14ac:dyDescent="0.2">
      <c r="A37" s="3" t="s">
        <v>15</v>
      </c>
      <c r="B37" s="2">
        <v>48.1</v>
      </c>
      <c r="C37" s="2">
        <v>51.9</v>
      </c>
      <c r="D37" s="2">
        <v>49</v>
      </c>
      <c r="E37" s="2">
        <v>51</v>
      </c>
      <c r="F37" s="2">
        <v>50.2</v>
      </c>
      <c r="G37" s="2">
        <v>49.8</v>
      </c>
      <c r="H37" s="2">
        <v>43.8</v>
      </c>
      <c r="I37" s="2">
        <v>56.2</v>
      </c>
      <c r="J37" s="2">
        <v>43.5</v>
      </c>
      <c r="K37" s="2">
        <v>56.5</v>
      </c>
    </row>
    <row r="38" spans="1:11" x14ac:dyDescent="0.2">
      <c r="A38" s="3" t="s">
        <v>46</v>
      </c>
      <c r="B38" s="2">
        <v>30.2</v>
      </c>
      <c r="C38" s="2">
        <v>69.8</v>
      </c>
      <c r="D38" s="2">
        <v>39.9</v>
      </c>
      <c r="E38" s="2">
        <v>60.1</v>
      </c>
      <c r="F38" s="2">
        <v>45.6</v>
      </c>
      <c r="G38" s="2">
        <v>54.4</v>
      </c>
      <c r="H38" s="2">
        <v>36.1</v>
      </c>
      <c r="I38" s="2">
        <v>63.9</v>
      </c>
      <c r="J38" s="2">
        <v>35.299999999999997</v>
      </c>
      <c r="K38" s="2">
        <v>64.7</v>
      </c>
    </row>
    <row r="39" spans="1:11" x14ac:dyDescent="0.2">
      <c r="A39" s="3" t="s">
        <v>1</v>
      </c>
      <c r="B39" s="2">
        <v>45.7</v>
      </c>
      <c r="C39" s="2">
        <v>54.3</v>
      </c>
      <c r="D39" s="2">
        <v>51.5</v>
      </c>
      <c r="E39" s="2">
        <v>48.5</v>
      </c>
      <c r="F39" s="2">
        <v>52.3</v>
      </c>
      <c r="G39" s="2">
        <v>47.7</v>
      </c>
      <c r="H39" s="2">
        <v>48.9</v>
      </c>
      <c r="I39" s="2">
        <v>51.1</v>
      </c>
      <c r="J39" s="2">
        <v>48.2</v>
      </c>
      <c r="K39" s="2">
        <v>51.8</v>
      </c>
    </row>
    <row r="40" spans="1:11" x14ac:dyDescent="0.2">
      <c r="A40" s="3" t="s">
        <v>41</v>
      </c>
      <c r="B40" s="2">
        <v>30.7</v>
      </c>
      <c r="C40" s="2">
        <v>69.3</v>
      </c>
      <c r="D40" s="2">
        <v>33.200000000000003</v>
      </c>
      <c r="E40" s="2">
        <v>66.8</v>
      </c>
      <c r="F40" s="2">
        <v>34.4</v>
      </c>
      <c r="G40" s="2">
        <v>65.599999999999994</v>
      </c>
      <c r="H40" s="2">
        <v>34.4</v>
      </c>
      <c r="I40" s="2">
        <v>65.599999999999994</v>
      </c>
      <c r="J40" s="2">
        <v>38.9</v>
      </c>
      <c r="K40" s="2">
        <v>61.1</v>
      </c>
    </row>
    <row r="41" spans="1:11" x14ac:dyDescent="0.2">
      <c r="A41" s="2" t="s">
        <v>31</v>
      </c>
      <c r="B41" s="2">
        <v>56.2</v>
      </c>
      <c r="C41" s="2">
        <v>43.8</v>
      </c>
      <c r="D41" s="2">
        <v>56.3</v>
      </c>
      <c r="E41" s="2">
        <v>43.7</v>
      </c>
      <c r="F41" s="2">
        <v>58.4</v>
      </c>
      <c r="G41" s="2">
        <v>41.6</v>
      </c>
      <c r="H41" s="2">
        <v>52.1</v>
      </c>
      <c r="I41" s="2">
        <v>47.9</v>
      </c>
      <c r="J41" s="2">
        <v>50.2</v>
      </c>
      <c r="K41" s="2">
        <v>49.8</v>
      </c>
    </row>
    <row r="42" spans="1:11" x14ac:dyDescent="0.2">
      <c r="A42" s="3" t="s">
        <v>17</v>
      </c>
      <c r="B42" s="2">
        <v>49.6</v>
      </c>
      <c r="C42" s="2">
        <v>50.4</v>
      </c>
      <c r="D42" s="2">
        <v>52.7</v>
      </c>
      <c r="E42" s="2">
        <v>47.3</v>
      </c>
      <c r="F42" s="2">
        <v>55.2</v>
      </c>
      <c r="G42" s="2">
        <v>44.8</v>
      </c>
      <c r="H42" s="2">
        <v>51.3</v>
      </c>
      <c r="I42" s="2">
        <v>48.7</v>
      </c>
      <c r="J42" s="2">
        <v>52.1</v>
      </c>
      <c r="K42" s="2">
        <v>47.9</v>
      </c>
    </row>
    <row r="43" spans="1:11" x14ac:dyDescent="0.2">
      <c r="A43" s="3" t="s">
        <v>7</v>
      </c>
      <c r="B43" s="2">
        <v>58.3</v>
      </c>
      <c r="C43" s="2">
        <v>41.7</v>
      </c>
      <c r="D43" s="2">
        <v>64</v>
      </c>
      <c r="E43" s="2">
        <v>36</v>
      </c>
      <c r="F43" s="2">
        <v>64.2</v>
      </c>
      <c r="G43" s="2">
        <v>35.799999999999997</v>
      </c>
      <c r="H43" s="2">
        <v>60.6</v>
      </c>
      <c r="I43" s="2">
        <v>39.4</v>
      </c>
      <c r="J43" s="2">
        <v>65.599999999999994</v>
      </c>
      <c r="K43" s="2">
        <v>34.4</v>
      </c>
    </row>
    <row r="44" spans="1:11" x14ac:dyDescent="0.2">
      <c r="A44" s="3" t="s">
        <v>39</v>
      </c>
      <c r="B44" s="2">
        <v>42.5</v>
      </c>
      <c r="C44" s="2">
        <v>57.5</v>
      </c>
      <c r="D44" s="2">
        <v>44.7</v>
      </c>
      <c r="E44" s="2">
        <v>55.3</v>
      </c>
      <c r="F44" s="2">
        <v>45.5</v>
      </c>
      <c r="G44" s="2">
        <v>54.5</v>
      </c>
      <c r="H44" s="2">
        <v>41.4</v>
      </c>
      <c r="I44" s="2">
        <v>58.6</v>
      </c>
      <c r="J44" s="2">
        <v>41.9</v>
      </c>
      <c r="K44" s="2">
        <v>58.1</v>
      </c>
    </row>
    <row r="45" spans="1:11" x14ac:dyDescent="0.2">
      <c r="A45" s="3" t="s">
        <v>43</v>
      </c>
      <c r="B45" s="2">
        <v>34</v>
      </c>
      <c r="C45" s="2">
        <v>66</v>
      </c>
      <c r="D45" s="2">
        <v>40.799999999999997</v>
      </c>
      <c r="E45" s="2">
        <v>59.2</v>
      </c>
      <c r="F45" s="2">
        <v>45.7</v>
      </c>
      <c r="G45" s="2">
        <v>54.3</v>
      </c>
      <c r="H45" s="2">
        <v>39.1</v>
      </c>
      <c r="I45" s="2">
        <v>60.9</v>
      </c>
      <c r="J45" s="2">
        <v>38.4</v>
      </c>
      <c r="K45" s="2">
        <v>61.6</v>
      </c>
    </row>
    <row r="46" spans="1:11" x14ac:dyDescent="0.2">
      <c r="A46" s="3" t="s">
        <v>36</v>
      </c>
      <c r="B46" s="2">
        <v>36.4</v>
      </c>
      <c r="C46" s="2">
        <v>63.6</v>
      </c>
      <c r="D46" s="2">
        <v>39.6</v>
      </c>
      <c r="E46" s="2">
        <v>60.4</v>
      </c>
      <c r="F46" s="2">
        <v>42.4</v>
      </c>
      <c r="G46" s="2">
        <v>57.6</v>
      </c>
      <c r="H46" s="2">
        <v>42.8</v>
      </c>
      <c r="I46" s="2">
        <v>57.2</v>
      </c>
      <c r="J46" s="2">
        <v>48</v>
      </c>
      <c r="K46" s="2">
        <v>52</v>
      </c>
    </row>
    <row r="47" spans="1:11" x14ac:dyDescent="0.2">
      <c r="A47" s="3" t="s">
        <v>48</v>
      </c>
      <c r="B47" s="2">
        <v>45.3</v>
      </c>
      <c r="C47" s="2">
        <v>54.7</v>
      </c>
      <c r="D47" s="2">
        <v>42</v>
      </c>
      <c r="E47" s="2">
        <v>58</v>
      </c>
      <c r="F47" s="2">
        <v>44.1</v>
      </c>
      <c r="G47" s="2">
        <v>55.9</v>
      </c>
      <c r="H47" s="2">
        <v>38.5</v>
      </c>
      <c r="I47" s="2">
        <v>61.5</v>
      </c>
      <c r="J47" s="2">
        <v>39</v>
      </c>
      <c r="K47" s="2">
        <v>61</v>
      </c>
    </row>
    <row r="48" spans="1:11" x14ac:dyDescent="0.2">
      <c r="A48" s="2" t="s">
        <v>0</v>
      </c>
      <c r="B48" s="2">
        <v>37.6</v>
      </c>
      <c r="C48" s="2">
        <v>62.4</v>
      </c>
      <c r="D48" s="2">
        <v>25.4</v>
      </c>
      <c r="E48" s="2">
        <v>74.599999999999994</v>
      </c>
      <c r="F48" s="2">
        <v>35.5</v>
      </c>
      <c r="G48" s="2">
        <v>64.5</v>
      </c>
      <c r="H48" s="2">
        <v>26.7</v>
      </c>
      <c r="I48" s="2">
        <v>73.3</v>
      </c>
      <c r="J48" s="2">
        <v>28.3</v>
      </c>
      <c r="K48" s="2">
        <v>71.7</v>
      </c>
    </row>
    <row r="49" spans="1:11" x14ac:dyDescent="0.2">
      <c r="A49" s="3" t="s">
        <v>9</v>
      </c>
      <c r="B49" s="2">
        <v>65.2</v>
      </c>
      <c r="C49" s="2">
        <v>34.799999999999997</v>
      </c>
      <c r="D49" s="2">
        <v>68.2</v>
      </c>
      <c r="E49" s="2">
        <v>31.8</v>
      </c>
      <c r="F49" s="2">
        <v>68.900000000000006</v>
      </c>
      <c r="G49" s="2">
        <v>31.1</v>
      </c>
      <c r="H49" s="2">
        <v>60.3</v>
      </c>
      <c r="I49" s="2">
        <v>39.700000000000003</v>
      </c>
      <c r="J49" s="2">
        <v>55.4</v>
      </c>
      <c r="K49" s="2">
        <v>44.6</v>
      </c>
    </row>
    <row r="50" spans="1:11" x14ac:dyDescent="0.2">
      <c r="A50" s="3" t="s">
        <v>2</v>
      </c>
      <c r="B50" s="2">
        <v>52.8</v>
      </c>
      <c r="C50" s="2">
        <v>47.2</v>
      </c>
      <c r="D50" s="2">
        <v>52</v>
      </c>
      <c r="E50" s="2">
        <v>48</v>
      </c>
      <c r="F50" s="2">
        <v>53.2</v>
      </c>
      <c r="G50" s="2">
        <v>46.8</v>
      </c>
      <c r="H50" s="2">
        <v>45.9</v>
      </c>
      <c r="I50" s="2">
        <v>54.1</v>
      </c>
      <c r="J50" s="2">
        <v>45.9</v>
      </c>
      <c r="K50" s="2">
        <v>54.1</v>
      </c>
    </row>
    <row r="51" spans="1:11" x14ac:dyDescent="0.2">
      <c r="A51" s="2" t="s">
        <v>40</v>
      </c>
      <c r="B51" s="2">
        <v>58.8</v>
      </c>
      <c r="C51" s="2">
        <v>41.2</v>
      </c>
      <c r="D51" s="2">
        <v>57.6</v>
      </c>
      <c r="E51" s="2">
        <v>42.4</v>
      </c>
      <c r="F51" s="2">
        <v>58.8</v>
      </c>
      <c r="G51" s="2">
        <v>41.2</v>
      </c>
      <c r="H51" s="2">
        <v>53.6</v>
      </c>
      <c r="I51" s="2">
        <v>46.4</v>
      </c>
      <c r="J51" s="2">
        <v>52.9</v>
      </c>
      <c r="K51" s="2">
        <v>47.1</v>
      </c>
    </row>
    <row r="52" spans="1:11" x14ac:dyDescent="0.2">
      <c r="A52" s="3" t="s">
        <v>13</v>
      </c>
      <c r="B52" s="2">
        <v>27.8</v>
      </c>
      <c r="C52" s="2">
        <v>72.2</v>
      </c>
      <c r="D52" s="2">
        <v>36.299999999999997</v>
      </c>
      <c r="E52" s="2">
        <v>63.7</v>
      </c>
      <c r="F52" s="2">
        <v>43.3</v>
      </c>
      <c r="G52" s="2">
        <v>56.7</v>
      </c>
      <c r="H52" s="2">
        <v>43.5</v>
      </c>
      <c r="I52" s="2">
        <v>56.5</v>
      </c>
      <c r="J52" s="2">
        <v>46.8</v>
      </c>
      <c r="K52" s="2">
        <v>53.2</v>
      </c>
    </row>
    <row r="53" spans="1:11" x14ac:dyDescent="0.2">
      <c r="A53" s="3" t="s">
        <v>25</v>
      </c>
      <c r="B53" s="2">
        <v>49.6</v>
      </c>
      <c r="C53" s="2">
        <v>50.4</v>
      </c>
      <c r="D53" s="2">
        <v>53.5</v>
      </c>
      <c r="E53" s="2">
        <v>46.5</v>
      </c>
      <c r="F53" s="2">
        <v>57.1</v>
      </c>
      <c r="G53" s="2">
        <v>42.9</v>
      </c>
      <c r="H53" s="2">
        <v>50.2</v>
      </c>
      <c r="I53" s="2">
        <v>49.8</v>
      </c>
      <c r="J53" s="2">
        <v>50.1</v>
      </c>
      <c r="K53" s="2">
        <v>49.9</v>
      </c>
    </row>
    <row r="54" spans="1:11" x14ac:dyDescent="0.2">
      <c r="A54" s="2" t="s">
        <v>45</v>
      </c>
      <c r="B54" s="2">
        <v>24.3</v>
      </c>
      <c r="C54" s="2">
        <v>75.7</v>
      </c>
      <c r="D54" s="2">
        <v>28.8</v>
      </c>
      <c r="E54" s="2">
        <v>71.2</v>
      </c>
      <c r="F54" s="2">
        <v>33.4</v>
      </c>
      <c r="G54" s="2">
        <v>66.599999999999994</v>
      </c>
      <c r="H54" s="2">
        <v>29.7</v>
      </c>
      <c r="I54" s="2">
        <v>70.3</v>
      </c>
      <c r="J54" s="2">
        <v>29</v>
      </c>
      <c r="K54" s="2">
        <v>71</v>
      </c>
    </row>
  </sheetData>
  <sortState xmlns:xlrd2="http://schemas.microsoft.com/office/spreadsheetml/2017/richdata2" ref="A5:K54">
    <sortCondition ref="A4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05"/>
  <sheetViews>
    <sheetView tabSelected="1" workbookViewId="0">
      <pane ySplit="1" topLeftCell="A187" activePane="bottomLeft" state="frozen"/>
      <selection pane="bottomLeft" activeCell="G210" sqref="G210"/>
    </sheetView>
  </sheetViews>
  <sheetFormatPr baseColWidth="10" defaultRowHeight="16" x14ac:dyDescent="0.2"/>
  <cols>
    <col min="4" max="6" width="18.33203125" customWidth="1"/>
    <col min="7" max="7" width="24.5" customWidth="1"/>
    <col min="8" max="8" width="14" customWidth="1"/>
  </cols>
  <sheetData>
    <row r="1" spans="1:9" s="7" customFormat="1" ht="15" customHeight="1" x14ac:dyDescent="0.2">
      <c r="A1" s="7" t="s">
        <v>54</v>
      </c>
      <c r="B1" s="7" t="s">
        <v>71</v>
      </c>
      <c r="C1" s="7" t="s">
        <v>72</v>
      </c>
      <c r="D1" s="7" t="s">
        <v>53</v>
      </c>
      <c r="E1" s="7" t="s">
        <v>76</v>
      </c>
      <c r="F1" s="7" t="s">
        <v>77</v>
      </c>
      <c r="G1" s="7" t="s">
        <v>75</v>
      </c>
      <c r="H1" s="7" t="s">
        <v>73</v>
      </c>
      <c r="I1" s="7" t="s">
        <v>74</v>
      </c>
    </row>
    <row r="2" spans="1:9" x14ac:dyDescent="0.2">
      <c r="A2" t="s">
        <v>22</v>
      </c>
      <c r="B2" s="6">
        <v>0.44</v>
      </c>
      <c r="C2" s="6">
        <v>0.56000000000000005</v>
      </c>
      <c r="D2" s="6">
        <v>2016</v>
      </c>
      <c r="E2" s="8">
        <f>B2/(1-G2)</f>
        <v>1.0000000000000002</v>
      </c>
      <c r="F2" s="6">
        <f>C2/G2</f>
        <v>1</v>
      </c>
      <c r="G2" s="6">
        <v>0.56000000000000005</v>
      </c>
      <c r="H2" s="2">
        <v>61.2</v>
      </c>
      <c r="I2" s="2">
        <v>64.400000000000006</v>
      </c>
    </row>
    <row r="3" spans="1:9" x14ac:dyDescent="0.2">
      <c r="A3" t="s">
        <v>49</v>
      </c>
      <c r="B3" s="6">
        <v>0.45</v>
      </c>
      <c r="C3" s="6">
        <v>0.55000000000000004</v>
      </c>
      <c r="D3" s="6">
        <v>2016</v>
      </c>
      <c r="E3" s="8">
        <f t="shared" ref="E3:E66" si="0">B3/(1-G3)</f>
        <v>1.0227272727272729</v>
      </c>
      <c r="F3" s="6">
        <f t="shared" ref="F3:F66" si="1">C3/G3</f>
        <v>0.9821428571428571</v>
      </c>
      <c r="G3" s="6">
        <v>0.56000000000000005</v>
      </c>
      <c r="H3" s="2">
        <v>57.3</v>
      </c>
      <c r="I3" s="2">
        <v>58.4</v>
      </c>
    </row>
    <row r="4" spans="1:9" x14ac:dyDescent="0.2">
      <c r="A4" t="s">
        <v>28</v>
      </c>
      <c r="B4" s="6">
        <v>0.43</v>
      </c>
      <c r="C4" s="6">
        <v>0.56999999999999995</v>
      </c>
      <c r="D4" s="6">
        <v>2016</v>
      </c>
      <c r="E4" s="8">
        <f t="shared" si="0"/>
        <v>0.9772727272727274</v>
      </c>
      <c r="F4" s="6">
        <f t="shared" si="1"/>
        <v>1.0178571428571426</v>
      </c>
      <c r="G4" s="6">
        <v>0.56000000000000005</v>
      </c>
      <c r="H4" s="2">
        <v>54.6</v>
      </c>
      <c r="I4" s="2">
        <v>51.9</v>
      </c>
    </row>
    <row r="5" spans="1:9" x14ac:dyDescent="0.2">
      <c r="A5" t="s">
        <v>35</v>
      </c>
      <c r="B5" s="6">
        <v>0.46</v>
      </c>
      <c r="C5" s="6">
        <v>0.54</v>
      </c>
      <c r="D5" s="6">
        <v>2016</v>
      </c>
      <c r="E5" s="8">
        <f t="shared" si="0"/>
        <v>1.0454545454545456</v>
      </c>
      <c r="F5" s="6">
        <f t="shared" si="1"/>
        <v>0.9642857142857143</v>
      </c>
      <c r="G5" s="6">
        <v>0.56000000000000005</v>
      </c>
      <c r="H5" s="2">
        <v>62.2</v>
      </c>
      <c r="I5" s="2">
        <v>64.3</v>
      </c>
    </row>
    <row r="6" spans="1:9" x14ac:dyDescent="0.2">
      <c r="A6" t="s">
        <v>44</v>
      </c>
      <c r="B6" s="6">
        <v>0.41</v>
      </c>
      <c r="C6" s="6">
        <v>0.59</v>
      </c>
      <c r="D6" s="6">
        <v>2016</v>
      </c>
      <c r="E6" s="8">
        <f t="shared" si="0"/>
        <v>0.93181818181818188</v>
      </c>
      <c r="F6" s="6">
        <f t="shared" si="1"/>
        <v>1.0535714285714284</v>
      </c>
      <c r="G6" s="6">
        <v>0.56000000000000005</v>
      </c>
      <c r="H6" s="2">
        <v>38.1</v>
      </c>
      <c r="I6" s="2">
        <v>33.9</v>
      </c>
    </row>
    <row r="7" spans="1:9" x14ac:dyDescent="0.2">
      <c r="A7" t="s">
        <v>12</v>
      </c>
      <c r="B7" s="6">
        <v>0.43</v>
      </c>
      <c r="C7" s="6">
        <v>0.56999999999999995</v>
      </c>
      <c r="D7" s="6">
        <v>2016</v>
      </c>
      <c r="E7" s="8">
        <f t="shared" si="0"/>
        <v>0.9772727272727274</v>
      </c>
      <c r="F7" s="6">
        <f t="shared" si="1"/>
        <v>1.0178571428571426</v>
      </c>
      <c r="G7" s="6">
        <v>0.56000000000000005</v>
      </c>
      <c r="H7" s="2">
        <v>47.3</v>
      </c>
      <c r="I7" s="2">
        <v>47.3</v>
      </c>
    </row>
    <row r="8" spans="1:9" x14ac:dyDescent="0.2">
      <c r="A8" t="s">
        <v>20</v>
      </c>
      <c r="B8" s="6">
        <v>0.44</v>
      </c>
      <c r="C8" s="6">
        <v>0.56000000000000005</v>
      </c>
      <c r="D8" s="6">
        <v>2016</v>
      </c>
      <c r="E8" s="8">
        <f t="shared" si="0"/>
        <v>1.0000000000000002</v>
      </c>
      <c r="F8" s="6">
        <f t="shared" si="1"/>
        <v>1</v>
      </c>
      <c r="G8" s="6">
        <v>0.56000000000000005</v>
      </c>
      <c r="H8" s="2">
        <v>41.2</v>
      </c>
      <c r="I8" s="2">
        <v>42.9</v>
      </c>
    </row>
    <row r="9" spans="1:9" x14ac:dyDescent="0.2">
      <c r="A9" t="s">
        <v>24</v>
      </c>
      <c r="B9" s="6">
        <v>0.41</v>
      </c>
      <c r="C9" s="6">
        <v>0.59</v>
      </c>
      <c r="D9" s="6">
        <v>2016</v>
      </c>
      <c r="E9" s="8">
        <f t="shared" si="0"/>
        <v>0.93181818181818188</v>
      </c>
      <c r="F9" s="6">
        <f t="shared" si="1"/>
        <v>1.0535714285714284</v>
      </c>
      <c r="G9" s="6">
        <v>0.56000000000000005</v>
      </c>
      <c r="H9" s="2">
        <v>40.6</v>
      </c>
      <c r="I9" s="2">
        <v>44</v>
      </c>
    </row>
    <row r="10" spans="1:9" x14ac:dyDescent="0.2">
      <c r="A10" t="s">
        <v>6</v>
      </c>
      <c r="B10" s="6">
        <v>0.44</v>
      </c>
      <c r="C10" s="6">
        <v>0.56000000000000005</v>
      </c>
      <c r="D10" s="6">
        <v>2016</v>
      </c>
      <c r="E10" s="8">
        <f t="shared" si="0"/>
        <v>1.0000000000000002</v>
      </c>
      <c r="F10" s="6">
        <f t="shared" si="1"/>
        <v>1</v>
      </c>
      <c r="G10" s="6">
        <v>0.56000000000000005</v>
      </c>
      <c r="H10" s="2">
        <v>7.4</v>
      </c>
      <c r="I10" s="2">
        <v>4.3</v>
      </c>
    </row>
    <row r="11" spans="1:9" x14ac:dyDescent="0.2">
      <c r="A11" t="s">
        <v>14</v>
      </c>
      <c r="B11" s="6">
        <v>0.42</v>
      </c>
      <c r="C11" s="6">
        <v>0.57999999999999996</v>
      </c>
      <c r="D11" s="6">
        <v>2016</v>
      </c>
      <c r="E11" s="8">
        <f t="shared" si="0"/>
        <v>0.95454545454545459</v>
      </c>
      <c r="F11" s="6">
        <f t="shared" si="1"/>
        <v>1.0357142857142856</v>
      </c>
      <c r="G11" s="6">
        <v>0.56000000000000005</v>
      </c>
      <c r="H11" s="2">
        <v>49.6</v>
      </c>
      <c r="I11" s="2">
        <v>50.6</v>
      </c>
    </row>
    <row r="12" spans="1:9" x14ac:dyDescent="0.2">
      <c r="A12" t="s">
        <v>34</v>
      </c>
      <c r="B12" s="6">
        <v>0.42</v>
      </c>
      <c r="C12" s="6">
        <v>0.57999999999999996</v>
      </c>
      <c r="D12" s="6">
        <v>2016</v>
      </c>
      <c r="E12" s="8">
        <f t="shared" si="0"/>
        <v>0.95454545454545459</v>
      </c>
      <c r="F12" s="6">
        <f t="shared" si="1"/>
        <v>1.0357142857142856</v>
      </c>
      <c r="G12" s="6">
        <v>0.56000000000000005</v>
      </c>
      <c r="H12" s="2">
        <v>54</v>
      </c>
      <c r="I12" s="2">
        <v>52.7</v>
      </c>
    </row>
    <row r="13" spans="1:9" x14ac:dyDescent="0.2">
      <c r="A13" t="s">
        <v>50</v>
      </c>
      <c r="B13" s="6">
        <v>0.42</v>
      </c>
      <c r="C13" s="6">
        <v>0.57999999999999996</v>
      </c>
      <c r="D13" s="6">
        <v>2016</v>
      </c>
      <c r="E13" s="8">
        <f t="shared" si="0"/>
        <v>0.95454545454545459</v>
      </c>
      <c r="F13" s="6">
        <f t="shared" si="1"/>
        <v>1.0357142857142856</v>
      </c>
      <c r="G13" s="6">
        <v>0.56000000000000005</v>
      </c>
      <c r="H13" s="2">
        <v>28.3</v>
      </c>
      <c r="I13" s="2">
        <v>32.6</v>
      </c>
    </row>
    <row r="14" spans="1:9" x14ac:dyDescent="0.2">
      <c r="A14" t="s">
        <v>8</v>
      </c>
      <c r="B14" s="6">
        <v>0.46</v>
      </c>
      <c r="C14" s="6">
        <v>0.54</v>
      </c>
      <c r="D14" s="6">
        <v>2016</v>
      </c>
      <c r="E14" s="8">
        <f t="shared" si="0"/>
        <v>1.0454545454545456</v>
      </c>
      <c r="F14" s="6">
        <f t="shared" si="1"/>
        <v>0.9642857142857143</v>
      </c>
      <c r="G14" s="6">
        <v>0.56000000000000005</v>
      </c>
      <c r="H14" s="2">
        <v>66.400000000000006</v>
      </c>
      <c r="I14" s="2">
        <v>68.3</v>
      </c>
    </row>
    <row r="15" spans="1:9" x14ac:dyDescent="0.2">
      <c r="A15" t="s">
        <v>27</v>
      </c>
      <c r="B15" s="6">
        <v>0.43</v>
      </c>
      <c r="C15" s="6">
        <v>0.56999999999999995</v>
      </c>
      <c r="D15" s="6">
        <v>2016</v>
      </c>
      <c r="E15" s="8">
        <f t="shared" si="0"/>
        <v>0.9772727272727274</v>
      </c>
      <c r="F15" s="6">
        <f t="shared" si="1"/>
        <v>1.0178571428571426</v>
      </c>
      <c r="G15" s="6">
        <v>0.56000000000000005</v>
      </c>
      <c r="H15" s="2">
        <v>41.4</v>
      </c>
      <c r="I15" s="2">
        <v>41</v>
      </c>
    </row>
    <row r="16" spans="1:9" x14ac:dyDescent="0.2">
      <c r="A16" t="s">
        <v>21</v>
      </c>
      <c r="B16" s="6">
        <v>0.44</v>
      </c>
      <c r="C16" s="6">
        <v>0.56000000000000005</v>
      </c>
      <c r="D16" s="6">
        <v>2016</v>
      </c>
      <c r="E16" s="8">
        <f t="shared" si="0"/>
        <v>1.0000000000000002</v>
      </c>
      <c r="F16" s="6">
        <f t="shared" si="1"/>
        <v>1</v>
      </c>
      <c r="G16" s="6">
        <v>0.56000000000000005</v>
      </c>
      <c r="H16" s="2">
        <v>55.2</v>
      </c>
      <c r="I16" s="2">
        <v>60.1</v>
      </c>
    </row>
    <row r="17" spans="1:9" x14ac:dyDescent="0.2">
      <c r="A17" t="s">
        <v>5</v>
      </c>
      <c r="B17" s="6">
        <v>0.44</v>
      </c>
      <c r="C17" s="6">
        <v>0.56000000000000005</v>
      </c>
      <c r="D17" s="6">
        <v>2016</v>
      </c>
      <c r="E17" s="8">
        <f t="shared" si="0"/>
        <v>1.0000000000000002</v>
      </c>
      <c r="F17" s="6">
        <f t="shared" si="1"/>
        <v>1</v>
      </c>
      <c r="G17" s="6">
        <v>0.56000000000000005</v>
      </c>
      <c r="H17" s="2">
        <v>47</v>
      </c>
      <c r="I17" s="2">
        <v>55.1</v>
      </c>
    </row>
    <row r="18" spans="1:9" x14ac:dyDescent="0.2">
      <c r="A18" t="s">
        <v>23</v>
      </c>
      <c r="B18" s="6">
        <v>0.46</v>
      </c>
      <c r="C18" s="6">
        <v>0.54</v>
      </c>
      <c r="D18" s="6">
        <v>2016</v>
      </c>
      <c r="E18" s="8">
        <f t="shared" si="0"/>
        <v>1.0454545454545456</v>
      </c>
      <c r="F18" s="6">
        <f t="shared" si="1"/>
        <v>0.9642857142857143</v>
      </c>
      <c r="G18" s="6">
        <v>0.56000000000000005</v>
      </c>
      <c r="H18" s="2">
        <v>61.1</v>
      </c>
      <c r="I18" s="2">
        <v>61.1</v>
      </c>
    </row>
    <row r="19" spans="1:9" x14ac:dyDescent="0.2">
      <c r="A19" t="s">
        <v>18</v>
      </c>
      <c r="B19" s="6">
        <v>0.42</v>
      </c>
      <c r="C19" s="6">
        <v>0.57999999999999996</v>
      </c>
      <c r="D19" s="6">
        <v>2016</v>
      </c>
      <c r="E19" s="8">
        <f t="shared" si="0"/>
        <v>0.95454545454545459</v>
      </c>
      <c r="F19" s="6">
        <f t="shared" si="1"/>
        <v>1.0357142857142856</v>
      </c>
      <c r="G19" s="6">
        <v>0.56000000000000005</v>
      </c>
      <c r="H19" s="2">
        <v>61.5</v>
      </c>
      <c r="I19" s="2">
        <v>65.7</v>
      </c>
    </row>
    <row r="20" spans="1:9" x14ac:dyDescent="0.2">
      <c r="A20" t="s">
        <v>42</v>
      </c>
      <c r="B20" s="6">
        <v>0.43</v>
      </c>
      <c r="C20" s="6">
        <v>0.56999999999999995</v>
      </c>
      <c r="D20" s="6">
        <v>2016</v>
      </c>
      <c r="E20" s="8">
        <f t="shared" si="0"/>
        <v>0.9772727272727274</v>
      </c>
      <c r="F20" s="6">
        <f t="shared" si="1"/>
        <v>1.0178571428571426</v>
      </c>
      <c r="G20" s="6">
        <v>0.56000000000000005</v>
      </c>
      <c r="H20" s="2">
        <v>58.7</v>
      </c>
      <c r="I20" s="2">
        <v>60.2</v>
      </c>
    </row>
    <row r="21" spans="1:9" x14ac:dyDescent="0.2">
      <c r="A21" t="s">
        <v>19</v>
      </c>
      <c r="B21" s="6">
        <v>0.45</v>
      </c>
      <c r="C21" s="6">
        <v>0.55000000000000004</v>
      </c>
      <c r="D21" s="6">
        <v>2016</v>
      </c>
      <c r="E21" s="8">
        <f t="shared" si="0"/>
        <v>1.0227272727272729</v>
      </c>
      <c r="F21" s="6">
        <f t="shared" si="1"/>
        <v>0.9821428571428571</v>
      </c>
      <c r="G21" s="6">
        <v>0.56000000000000005</v>
      </c>
      <c r="H21" s="2">
        <v>42.1</v>
      </c>
      <c r="I21" s="2">
        <v>48.4</v>
      </c>
    </row>
    <row r="22" spans="1:9" x14ac:dyDescent="0.2">
      <c r="A22" t="s">
        <v>16</v>
      </c>
      <c r="B22" s="6">
        <v>0.42</v>
      </c>
      <c r="C22" s="6">
        <v>0.57999999999999996</v>
      </c>
      <c r="D22" s="6">
        <v>2016</v>
      </c>
      <c r="E22" s="8">
        <f t="shared" si="0"/>
        <v>0.95454545454545459</v>
      </c>
      <c r="F22" s="6">
        <f t="shared" si="1"/>
        <v>1.0357142857142856</v>
      </c>
      <c r="G22" s="6">
        <v>0.56000000000000005</v>
      </c>
      <c r="H22" s="2">
        <v>36.700000000000003</v>
      </c>
      <c r="I22" s="2">
        <v>36</v>
      </c>
    </row>
    <row r="23" spans="1:9" x14ac:dyDescent="0.2">
      <c r="A23" t="s">
        <v>4</v>
      </c>
      <c r="B23" s="6">
        <v>0.43</v>
      </c>
      <c r="C23" s="6">
        <v>0.56999999999999995</v>
      </c>
      <c r="D23" s="6">
        <v>2016</v>
      </c>
      <c r="E23" s="8">
        <f t="shared" si="0"/>
        <v>0.9772727272727274</v>
      </c>
      <c r="F23" s="6">
        <f t="shared" si="1"/>
        <v>1.0178571428571426</v>
      </c>
      <c r="G23" s="6">
        <v>0.56000000000000005</v>
      </c>
      <c r="H23" s="2">
        <v>38.200000000000003</v>
      </c>
      <c r="I23" s="2">
        <v>35.299999999999997</v>
      </c>
    </row>
    <row r="24" spans="1:9" x14ac:dyDescent="0.2">
      <c r="A24" t="s">
        <v>33</v>
      </c>
      <c r="B24" s="6">
        <v>0.44</v>
      </c>
      <c r="C24" s="6">
        <v>0.56000000000000005</v>
      </c>
      <c r="D24" s="6">
        <v>2016</v>
      </c>
      <c r="E24" s="8">
        <f t="shared" si="0"/>
        <v>1.0000000000000002</v>
      </c>
      <c r="F24" s="6">
        <f t="shared" si="1"/>
        <v>1</v>
      </c>
      <c r="G24" s="6">
        <v>0.56000000000000005</v>
      </c>
      <c r="H24" s="2">
        <v>45.2</v>
      </c>
      <c r="I24" s="2">
        <v>50.1</v>
      </c>
    </row>
    <row r="25" spans="1:9" x14ac:dyDescent="0.2">
      <c r="A25" t="s">
        <v>47</v>
      </c>
      <c r="B25" s="6">
        <v>0.43</v>
      </c>
      <c r="C25" s="6">
        <v>0.56999999999999995</v>
      </c>
      <c r="D25" s="6">
        <v>2016</v>
      </c>
      <c r="E25" s="8">
        <f t="shared" si="0"/>
        <v>0.9772727272727274</v>
      </c>
      <c r="F25" s="6">
        <f t="shared" si="1"/>
        <v>1.0178571428571426</v>
      </c>
      <c r="G25" s="6">
        <v>0.56000000000000005</v>
      </c>
      <c r="H25" s="2">
        <v>46.1</v>
      </c>
      <c r="I25" s="2">
        <v>49.2</v>
      </c>
    </row>
    <row r="26" spans="1:9" x14ac:dyDescent="0.2">
      <c r="A26" t="s">
        <v>38</v>
      </c>
      <c r="B26" s="6">
        <v>0.44</v>
      </c>
      <c r="C26" s="6">
        <v>0.56000000000000005</v>
      </c>
      <c r="D26" s="6">
        <v>2016</v>
      </c>
      <c r="E26" s="8">
        <f t="shared" si="0"/>
        <v>1.0000000000000002</v>
      </c>
      <c r="F26" s="6">
        <f t="shared" si="1"/>
        <v>1</v>
      </c>
      <c r="G26" s="6">
        <v>0.56000000000000005</v>
      </c>
      <c r="H26" s="2">
        <v>55.8</v>
      </c>
      <c r="I26" s="2">
        <v>59.1</v>
      </c>
    </row>
    <row r="27" spans="1:9" x14ac:dyDescent="0.2">
      <c r="A27" t="s">
        <v>30</v>
      </c>
      <c r="B27" s="6">
        <v>0.43</v>
      </c>
      <c r="C27" s="6">
        <v>0.56999999999999995</v>
      </c>
      <c r="D27" s="6">
        <v>2016</v>
      </c>
      <c r="E27" s="8">
        <f t="shared" si="0"/>
        <v>0.9772727272727274</v>
      </c>
      <c r="F27" s="6">
        <f t="shared" si="1"/>
        <v>1.0178571428571426</v>
      </c>
      <c r="G27" s="6">
        <v>0.56000000000000005</v>
      </c>
      <c r="H27" s="2">
        <v>54.8</v>
      </c>
      <c r="I27" s="2">
        <v>59.8</v>
      </c>
    </row>
    <row r="28" spans="1:9" x14ac:dyDescent="0.2">
      <c r="A28" t="s">
        <v>32</v>
      </c>
      <c r="B28" s="6">
        <v>0.45</v>
      </c>
      <c r="C28" s="6">
        <v>0.55000000000000004</v>
      </c>
      <c r="D28" s="6">
        <v>2016</v>
      </c>
      <c r="E28" s="8">
        <f t="shared" si="0"/>
        <v>1.0227272727272729</v>
      </c>
      <c r="F28" s="6">
        <f t="shared" si="1"/>
        <v>0.9821428571428571</v>
      </c>
      <c r="G28" s="6">
        <v>0.56000000000000005</v>
      </c>
      <c r="H28" s="2">
        <v>57</v>
      </c>
      <c r="I28" s="2">
        <v>61.1</v>
      </c>
    </row>
    <row r="29" spans="1:9" x14ac:dyDescent="0.2">
      <c r="A29" t="s">
        <v>37</v>
      </c>
      <c r="B29" s="6">
        <v>0.45</v>
      </c>
      <c r="C29" s="6">
        <v>0.55000000000000004</v>
      </c>
      <c r="D29" s="6">
        <v>2016</v>
      </c>
      <c r="E29" s="8">
        <f t="shared" si="0"/>
        <v>1.0227272727272729</v>
      </c>
      <c r="F29" s="6">
        <f t="shared" si="1"/>
        <v>0.9821428571428571</v>
      </c>
      <c r="G29" s="6">
        <v>0.56000000000000005</v>
      </c>
      <c r="H29" s="2">
        <v>61.1</v>
      </c>
      <c r="I29" s="2">
        <v>63.5</v>
      </c>
    </row>
    <row r="30" spans="1:9" x14ac:dyDescent="0.2">
      <c r="A30" t="s">
        <v>10</v>
      </c>
      <c r="B30" s="6">
        <v>0.42</v>
      </c>
      <c r="C30" s="6">
        <v>0.57999999999999996</v>
      </c>
      <c r="D30" s="6">
        <v>2016</v>
      </c>
      <c r="E30" s="8">
        <f t="shared" si="0"/>
        <v>0.95454545454545459</v>
      </c>
      <c r="F30" s="6">
        <f t="shared" si="1"/>
        <v>1.0357142857142856</v>
      </c>
      <c r="G30" s="6">
        <v>0.56000000000000005</v>
      </c>
      <c r="H30" s="2">
        <v>46.6</v>
      </c>
      <c r="I30" s="2">
        <v>48.7</v>
      </c>
    </row>
    <row r="31" spans="1:9" x14ac:dyDescent="0.2">
      <c r="A31" t="s">
        <v>3</v>
      </c>
      <c r="B31" s="6">
        <v>0.44</v>
      </c>
      <c r="C31" s="6">
        <v>0.56000000000000005</v>
      </c>
      <c r="D31" s="6">
        <v>2016</v>
      </c>
      <c r="E31" s="8">
        <f t="shared" si="0"/>
        <v>1.0000000000000002</v>
      </c>
      <c r="F31" s="6">
        <f t="shared" si="1"/>
        <v>1</v>
      </c>
      <c r="G31" s="6">
        <v>0.56000000000000005</v>
      </c>
      <c r="H31" s="2">
        <v>47.2</v>
      </c>
      <c r="I31" s="2">
        <v>49.8</v>
      </c>
    </row>
    <row r="32" spans="1:9" x14ac:dyDescent="0.2">
      <c r="A32" t="s">
        <v>11</v>
      </c>
      <c r="B32" s="6">
        <v>0.42</v>
      </c>
      <c r="C32" s="6">
        <v>0.57999999999999996</v>
      </c>
      <c r="D32" s="6">
        <v>2016</v>
      </c>
      <c r="E32" s="8">
        <f t="shared" si="0"/>
        <v>0.95454545454545459</v>
      </c>
      <c r="F32" s="6">
        <f t="shared" si="1"/>
        <v>1.0357142857142856</v>
      </c>
      <c r="G32" s="6">
        <v>0.56000000000000005</v>
      </c>
      <c r="H32" s="2">
        <v>41</v>
      </c>
      <c r="I32" s="2">
        <v>42.7</v>
      </c>
    </row>
    <row r="33" spans="1:9" x14ac:dyDescent="0.2">
      <c r="A33" t="s">
        <v>29</v>
      </c>
      <c r="B33" s="6">
        <v>0.44</v>
      </c>
      <c r="C33" s="6">
        <v>0.56000000000000005</v>
      </c>
      <c r="D33" s="6">
        <v>2016</v>
      </c>
      <c r="E33" s="8">
        <f t="shared" si="0"/>
        <v>1.0000000000000002</v>
      </c>
      <c r="F33" s="6">
        <f t="shared" si="1"/>
        <v>1</v>
      </c>
      <c r="G33" s="6">
        <v>0.56000000000000005</v>
      </c>
      <c r="H33" s="2">
        <v>44.7</v>
      </c>
      <c r="I33" s="2">
        <v>45.3</v>
      </c>
    </row>
    <row r="34" spans="1:9" x14ac:dyDescent="0.2">
      <c r="A34" t="s">
        <v>26</v>
      </c>
      <c r="B34" s="6">
        <v>0.43</v>
      </c>
      <c r="C34" s="6">
        <v>0.56999999999999995</v>
      </c>
      <c r="D34" s="6">
        <v>2016</v>
      </c>
      <c r="E34" s="8">
        <f t="shared" si="0"/>
        <v>0.9772727272727274</v>
      </c>
      <c r="F34" s="6">
        <f t="shared" si="1"/>
        <v>1.0178571428571426</v>
      </c>
      <c r="G34" s="6">
        <v>0.56000000000000005</v>
      </c>
      <c r="H34" s="2">
        <v>35.700000000000003</v>
      </c>
      <c r="I34" s="2">
        <v>38.200000000000003</v>
      </c>
    </row>
    <row r="35" spans="1:9" x14ac:dyDescent="0.2">
      <c r="A35" t="s">
        <v>15</v>
      </c>
      <c r="B35" s="6">
        <v>0.43</v>
      </c>
      <c r="C35" s="6">
        <v>0.56999999999999995</v>
      </c>
      <c r="D35" s="6">
        <v>2016</v>
      </c>
      <c r="E35" s="8">
        <f t="shared" si="0"/>
        <v>0.9772727272727274</v>
      </c>
      <c r="F35" s="6">
        <f t="shared" si="1"/>
        <v>1.0178571428571426</v>
      </c>
      <c r="G35" s="6">
        <v>0.56000000000000005</v>
      </c>
      <c r="H35" s="2">
        <v>51</v>
      </c>
      <c r="I35" s="2">
        <v>51.9</v>
      </c>
    </row>
    <row r="36" spans="1:9" x14ac:dyDescent="0.2">
      <c r="A36" t="s">
        <v>46</v>
      </c>
      <c r="B36" s="6">
        <v>0.44</v>
      </c>
      <c r="C36" s="6">
        <v>0.56000000000000005</v>
      </c>
      <c r="D36" s="6">
        <v>2016</v>
      </c>
      <c r="E36" s="8">
        <f t="shared" si="0"/>
        <v>1.0000000000000002</v>
      </c>
      <c r="F36" s="6">
        <f t="shared" si="1"/>
        <v>1</v>
      </c>
      <c r="G36" s="6">
        <v>0.56000000000000005</v>
      </c>
      <c r="H36" s="2">
        <v>60.1</v>
      </c>
      <c r="I36" s="2">
        <v>69.8</v>
      </c>
    </row>
    <row r="37" spans="1:9" x14ac:dyDescent="0.2">
      <c r="A37" t="s">
        <v>1</v>
      </c>
      <c r="B37" s="6">
        <v>0.44</v>
      </c>
      <c r="C37" s="6">
        <v>0.56000000000000005</v>
      </c>
      <c r="D37" s="6">
        <v>2016</v>
      </c>
      <c r="E37" s="8">
        <f t="shared" si="0"/>
        <v>1.0000000000000002</v>
      </c>
      <c r="F37" s="6">
        <f t="shared" si="1"/>
        <v>1</v>
      </c>
      <c r="G37" s="6">
        <v>0.56000000000000005</v>
      </c>
      <c r="H37" s="2">
        <v>48.5</v>
      </c>
      <c r="I37" s="2">
        <v>54.3</v>
      </c>
    </row>
    <row r="38" spans="1:9" x14ac:dyDescent="0.2">
      <c r="A38" t="s">
        <v>41</v>
      </c>
      <c r="B38" s="6">
        <v>0.45</v>
      </c>
      <c r="C38" s="6">
        <v>0.55000000000000004</v>
      </c>
      <c r="D38" s="6">
        <v>2016</v>
      </c>
      <c r="E38" s="8">
        <f t="shared" si="0"/>
        <v>1.0227272727272729</v>
      </c>
      <c r="F38" s="6">
        <f t="shared" si="1"/>
        <v>0.9821428571428571</v>
      </c>
      <c r="G38" s="6">
        <v>0.56000000000000005</v>
      </c>
      <c r="H38" s="2">
        <v>66.8</v>
      </c>
      <c r="I38" s="2">
        <v>69.3</v>
      </c>
    </row>
    <row r="39" spans="1:9" x14ac:dyDescent="0.2">
      <c r="A39" t="s">
        <v>31</v>
      </c>
      <c r="B39" s="6">
        <v>0.44</v>
      </c>
      <c r="C39" s="6">
        <v>0.56000000000000005</v>
      </c>
      <c r="D39" s="6">
        <v>2016</v>
      </c>
      <c r="E39" s="8">
        <f t="shared" si="0"/>
        <v>1.0000000000000002</v>
      </c>
      <c r="F39" s="6">
        <f t="shared" si="1"/>
        <v>1</v>
      </c>
      <c r="G39" s="6">
        <v>0.56000000000000005</v>
      </c>
      <c r="H39" s="2">
        <v>43.7</v>
      </c>
      <c r="I39" s="2">
        <v>43.8</v>
      </c>
    </row>
    <row r="40" spans="1:9" x14ac:dyDescent="0.2">
      <c r="A40" t="s">
        <v>17</v>
      </c>
      <c r="B40" s="6">
        <v>0.44</v>
      </c>
      <c r="C40" s="6">
        <v>0.56000000000000005</v>
      </c>
      <c r="D40" s="6">
        <v>2016</v>
      </c>
      <c r="E40" s="8">
        <f t="shared" si="0"/>
        <v>1.0000000000000002</v>
      </c>
      <c r="F40" s="6">
        <f t="shared" si="1"/>
        <v>1</v>
      </c>
      <c r="G40" s="6">
        <v>0.56000000000000005</v>
      </c>
      <c r="H40" s="2">
        <v>47.3</v>
      </c>
      <c r="I40" s="2">
        <v>50.4</v>
      </c>
    </row>
    <row r="41" spans="1:9" x14ac:dyDescent="0.2">
      <c r="A41" t="s">
        <v>7</v>
      </c>
      <c r="B41" s="6">
        <v>0.41</v>
      </c>
      <c r="C41" s="6">
        <v>0.59</v>
      </c>
      <c r="D41" s="6">
        <v>2016</v>
      </c>
      <c r="E41" s="8">
        <f t="shared" si="0"/>
        <v>0.93181818181818188</v>
      </c>
      <c r="F41" s="6">
        <f t="shared" si="1"/>
        <v>1.0535714285714284</v>
      </c>
      <c r="G41" s="6">
        <v>0.56000000000000005</v>
      </c>
      <c r="H41" s="2">
        <v>36</v>
      </c>
      <c r="I41" s="2">
        <v>41.7</v>
      </c>
    </row>
    <row r="42" spans="1:9" x14ac:dyDescent="0.2">
      <c r="A42" t="s">
        <v>39</v>
      </c>
      <c r="B42" s="6">
        <v>0.43</v>
      </c>
      <c r="C42" s="6">
        <v>0.56999999999999995</v>
      </c>
      <c r="D42" s="6">
        <v>2016</v>
      </c>
      <c r="E42" s="8">
        <f t="shared" si="0"/>
        <v>0.9772727272727274</v>
      </c>
      <c r="F42" s="6">
        <f t="shared" si="1"/>
        <v>1.0178571428571426</v>
      </c>
      <c r="G42" s="6">
        <v>0.56000000000000005</v>
      </c>
      <c r="H42" s="2">
        <v>55.3</v>
      </c>
      <c r="I42" s="2">
        <v>57.5</v>
      </c>
    </row>
    <row r="43" spans="1:9" x14ac:dyDescent="0.2">
      <c r="A43" t="s">
        <v>43</v>
      </c>
      <c r="B43" s="6">
        <v>0.43</v>
      </c>
      <c r="C43" s="6">
        <v>0.56999999999999995</v>
      </c>
      <c r="D43" s="6">
        <v>2016</v>
      </c>
      <c r="E43" s="8">
        <f t="shared" si="0"/>
        <v>0.9772727272727274</v>
      </c>
      <c r="F43" s="6">
        <f t="shared" si="1"/>
        <v>1.0178571428571426</v>
      </c>
      <c r="G43" s="6">
        <v>0.56000000000000005</v>
      </c>
      <c r="H43" s="2">
        <v>59.2</v>
      </c>
      <c r="I43" s="2">
        <v>66</v>
      </c>
    </row>
    <row r="44" spans="1:9" x14ac:dyDescent="0.2">
      <c r="A44" t="s">
        <v>36</v>
      </c>
      <c r="B44" s="6">
        <v>0.44</v>
      </c>
      <c r="C44" s="6">
        <v>0.56000000000000005</v>
      </c>
      <c r="D44" s="6">
        <v>2016</v>
      </c>
      <c r="E44" s="8">
        <f t="shared" si="0"/>
        <v>1.0000000000000002</v>
      </c>
      <c r="F44" s="6">
        <f t="shared" si="1"/>
        <v>1</v>
      </c>
      <c r="G44" s="6">
        <v>0.56000000000000005</v>
      </c>
      <c r="H44" s="2">
        <v>60.4</v>
      </c>
      <c r="I44" s="2">
        <v>63.6</v>
      </c>
    </row>
    <row r="45" spans="1:9" x14ac:dyDescent="0.2">
      <c r="A45" t="s">
        <v>48</v>
      </c>
      <c r="B45" s="6">
        <v>0.43</v>
      </c>
      <c r="C45" s="6">
        <v>0.56999999999999995</v>
      </c>
      <c r="D45" s="6">
        <v>2016</v>
      </c>
      <c r="E45" s="8">
        <f t="shared" si="0"/>
        <v>0.9772727272727274</v>
      </c>
      <c r="F45" s="6">
        <f t="shared" si="1"/>
        <v>1.0178571428571426</v>
      </c>
      <c r="G45" s="6">
        <v>0.56000000000000005</v>
      </c>
      <c r="H45" s="2">
        <v>58</v>
      </c>
      <c r="I45" s="2">
        <v>54.7</v>
      </c>
    </row>
    <row r="46" spans="1:9" x14ac:dyDescent="0.2">
      <c r="A46" t="s">
        <v>0</v>
      </c>
      <c r="B46" s="6">
        <v>0.45</v>
      </c>
      <c r="C46" s="6">
        <v>0.55000000000000004</v>
      </c>
      <c r="D46" s="6">
        <v>2016</v>
      </c>
      <c r="E46" s="8">
        <f t="shared" si="0"/>
        <v>1.0227272727272729</v>
      </c>
      <c r="F46" s="6">
        <f t="shared" si="1"/>
        <v>0.9821428571428571</v>
      </c>
      <c r="G46" s="6">
        <v>0.56000000000000005</v>
      </c>
      <c r="H46" s="2">
        <v>74.599999999999994</v>
      </c>
      <c r="I46" s="2">
        <v>62.4</v>
      </c>
    </row>
    <row r="47" spans="1:9" x14ac:dyDescent="0.2">
      <c r="A47" t="s">
        <v>9</v>
      </c>
      <c r="B47" s="6">
        <v>0.46</v>
      </c>
      <c r="C47" s="6">
        <v>0.54</v>
      </c>
      <c r="D47" s="6">
        <v>2016</v>
      </c>
      <c r="E47" s="8">
        <f t="shared" si="0"/>
        <v>1.0454545454545456</v>
      </c>
      <c r="F47" s="6">
        <f t="shared" si="1"/>
        <v>0.9642857142857143</v>
      </c>
      <c r="G47" s="6">
        <v>0.56000000000000005</v>
      </c>
      <c r="H47" s="2">
        <v>31.8</v>
      </c>
      <c r="I47" s="2">
        <v>34.799999999999997</v>
      </c>
    </row>
    <row r="48" spans="1:9" x14ac:dyDescent="0.2">
      <c r="A48" t="s">
        <v>2</v>
      </c>
      <c r="B48" s="6">
        <v>0.44</v>
      </c>
      <c r="C48" s="6">
        <v>0.56000000000000005</v>
      </c>
      <c r="D48" s="6">
        <v>2016</v>
      </c>
      <c r="E48" s="8">
        <f t="shared" si="0"/>
        <v>1.0000000000000002</v>
      </c>
      <c r="F48" s="6">
        <f t="shared" si="1"/>
        <v>1</v>
      </c>
      <c r="G48" s="6">
        <v>0.56000000000000005</v>
      </c>
      <c r="H48" s="2">
        <v>48</v>
      </c>
      <c r="I48" s="2">
        <v>47.2</v>
      </c>
    </row>
    <row r="49" spans="1:9" x14ac:dyDescent="0.2">
      <c r="A49" t="s">
        <v>40</v>
      </c>
      <c r="B49" s="6">
        <v>0.44</v>
      </c>
      <c r="C49" s="6">
        <v>0.56000000000000005</v>
      </c>
      <c r="D49" s="6">
        <v>2016</v>
      </c>
      <c r="E49" s="8">
        <f t="shared" si="0"/>
        <v>1.0000000000000002</v>
      </c>
      <c r="F49" s="6">
        <f t="shared" si="1"/>
        <v>1</v>
      </c>
      <c r="G49" s="6">
        <v>0.56000000000000005</v>
      </c>
      <c r="H49" s="2">
        <v>42.4</v>
      </c>
      <c r="I49" s="2">
        <v>41.2</v>
      </c>
    </row>
    <row r="50" spans="1:9" x14ac:dyDescent="0.2">
      <c r="A50" t="s">
        <v>13</v>
      </c>
      <c r="B50" s="6">
        <v>0.44</v>
      </c>
      <c r="C50" s="6">
        <v>0.56000000000000005</v>
      </c>
      <c r="D50" s="6">
        <v>2016</v>
      </c>
      <c r="E50" s="8">
        <f t="shared" si="0"/>
        <v>1.0000000000000002</v>
      </c>
      <c r="F50" s="6">
        <f t="shared" si="1"/>
        <v>1</v>
      </c>
      <c r="G50" s="6">
        <v>0.56000000000000005</v>
      </c>
      <c r="H50" s="2">
        <v>63.7</v>
      </c>
      <c r="I50" s="2">
        <v>72.2</v>
      </c>
    </row>
    <row r="51" spans="1:9" x14ac:dyDescent="0.2">
      <c r="A51" t="s">
        <v>25</v>
      </c>
      <c r="B51" s="6">
        <v>0.43</v>
      </c>
      <c r="C51" s="6">
        <v>0.56999999999999995</v>
      </c>
      <c r="D51" s="6">
        <v>2016</v>
      </c>
      <c r="E51" s="8">
        <f t="shared" si="0"/>
        <v>0.9772727272727274</v>
      </c>
      <c r="F51" s="6">
        <f t="shared" si="1"/>
        <v>1.0178571428571426</v>
      </c>
      <c r="G51" s="6">
        <v>0.56000000000000005</v>
      </c>
      <c r="H51" s="2">
        <v>46.5</v>
      </c>
      <c r="I51" s="2">
        <v>50.4</v>
      </c>
    </row>
    <row r="52" spans="1:9" x14ac:dyDescent="0.2">
      <c r="A52" t="s">
        <v>45</v>
      </c>
      <c r="B52" s="6">
        <v>0.47</v>
      </c>
      <c r="C52" s="6">
        <v>0.53</v>
      </c>
      <c r="D52" s="6">
        <v>2016</v>
      </c>
      <c r="E52" s="8">
        <f t="shared" si="0"/>
        <v>1.0681818181818183</v>
      </c>
      <c r="F52" s="6">
        <f t="shared" si="1"/>
        <v>0.9464285714285714</v>
      </c>
      <c r="G52" s="6">
        <v>0.56000000000000005</v>
      </c>
      <c r="H52" s="2">
        <v>71.2</v>
      </c>
      <c r="I52" s="2">
        <v>75.7</v>
      </c>
    </row>
    <row r="53" spans="1:9" x14ac:dyDescent="0.2">
      <c r="A53" t="s">
        <v>22</v>
      </c>
      <c r="B53" s="6">
        <v>0.25</v>
      </c>
      <c r="C53" s="6">
        <v>0.75</v>
      </c>
      <c r="D53" s="6">
        <v>2012</v>
      </c>
      <c r="E53" s="8">
        <f t="shared" si="0"/>
        <v>1.0416666666666667</v>
      </c>
      <c r="F53" s="6">
        <f t="shared" si="1"/>
        <v>0.98684210526315785</v>
      </c>
      <c r="G53" s="9">
        <v>0.76</v>
      </c>
      <c r="H53" s="2">
        <v>60.9</v>
      </c>
      <c r="I53" s="2">
        <v>61.2</v>
      </c>
    </row>
    <row r="54" spans="1:9" x14ac:dyDescent="0.2">
      <c r="A54" t="s">
        <v>49</v>
      </c>
      <c r="B54" s="6">
        <v>0.19</v>
      </c>
      <c r="C54" s="6">
        <v>0.81</v>
      </c>
      <c r="D54" s="6">
        <v>2012</v>
      </c>
      <c r="E54" s="8">
        <f t="shared" si="0"/>
        <v>0.79166666666666674</v>
      </c>
      <c r="F54" s="6">
        <f t="shared" si="1"/>
        <v>1.0657894736842106</v>
      </c>
      <c r="G54" s="9">
        <v>0.76</v>
      </c>
      <c r="H54" s="2">
        <v>61.1</v>
      </c>
      <c r="I54" s="2">
        <v>57.3</v>
      </c>
    </row>
    <row r="55" spans="1:9" x14ac:dyDescent="0.2">
      <c r="A55" t="s">
        <v>28</v>
      </c>
      <c r="B55" s="6">
        <v>0.22</v>
      </c>
      <c r="C55" s="6">
        <v>0.78</v>
      </c>
      <c r="D55" s="6">
        <v>2012</v>
      </c>
      <c r="E55" s="8">
        <f t="shared" si="0"/>
        <v>0.91666666666666674</v>
      </c>
      <c r="F55" s="6">
        <f t="shared" si="1"/>
        <v>1.0263157894736843</v>
      </c>
      <c r="G55" s="9">
        <v>0.76</v>
      </c>
      <c r="H55" s="2">
        <v>54.3</v>
      </c>
      <c r="I55" s="2">
        <v>54.6</v>
      </c>
    </row>
    <row r="56" spans="1:9" x14ac:dyDescent="0.2">
      <c r="A56" t="s">
        <v>35</v>
      </c>
      <c r="B56" s="6">
        <v>0.28000000000000003</v>
      </c>
      <c r="C56" s="6">
        <v>0.72</v>
      </c>
      <c r="D56" s="6">
        <v>2012</v>
      </c>
      <c r="E56" s="8">
        <f t="shared" si="0"/>
        <v>1.1666666666666667</v>
      </c>
      <c r="F56" s="6">
        <f t="shared" si="1"/>
        <v>0.94736842105263153</v>
      </c>
      <c r="G56" s="9">
        <v>0.76</v>
      </c>
      <c r="H56" s="2">
        <v>60.2</v>
      </c>
      <c r="I56" s="2">
        <v>62.2</v>
      </c>
    </row>
    <row r="57" spans="1:9" x14ac:dyDescent="0.2">
      <c r="A57" t="s">
        <v>44</v>
      </c>
      <c r="B57" s="6">
        <v>0.23</v>
      </c>
      <c r="C57" s="6">
        <v>0.77</v>
      </c>
      <c r="D57" s="6">
        <v>2012</v>
      </c>
      <c r="E57" s="8">
        <f t="shared" si="0"/>
        <v>0.95833333333333337</v>
      </c>
      <c r="F57" s="6">
        <f t="shared" si="1"/>
        <v>1.013157894736842</v>
      </c>
      <c r="G57" s="9">
        <v>0.76</v>
      </c>
      <c r="H57" s="2">
        <v>37.700000000000003</v>
      </c>
      <c r="I57" s="2">
        <v>38.1</v>
      </c>
    </row>
    <row r="58" spans="1:9" x14ac:dyDescent="0.2">
      <c r="A58" t="s">
        <v>12</v>
      </c>
      <c r="B58" s="6">
        <v>0.23</v>
      </c>
      <c r="C58" s="6">
        <v>0.77</v>
      </c>
      <c r="D58" s="6">
        <v>2012</v>
      </c>
      <c r="E58" s="8">
        <f t="shared" si="0"/>
        <v>0.95833333333333337</v>
      </c>
      <c r="F58" s="6">
        <f t="shared" si="1"/>
        <v>1.013157894736842</v>
      </c>
      <c r="G58" s="9">
        <v>0.76</v>
      </c>
      <c r="H58" s="2">
        <v>45.4</v>
      </c>
      <c r="I58" s="2">
        <v>47.3</v>
      </c>
    </row>
    <row r="59" spans="1:9" x14ac:dyDescent="0.2">
      <c r="A59" t="s">
        <v>20</v>
      </c>
      <c r="B59" s="6">
        <v>0.24</v>
      </c>
      <c r="C59" s="6">
        <v>0.76</v>
      </c>
      <c r="D59" s="6">
        <v>2012</v>
      </c>
      <c r="E59" s="8">
        <f t="shared" si="0"/>
        <v>1</v>
      </c>
      <c r="F59" s="6">
        <f t="shared" si="1"/>
        <v>1</v>
      </c>
      <c r="G59" s="9">
        <v>0.76</v>
      </c>
      <c r="H59" s="2">
        <v>38.700000000000003</v>
      </c>
      <c r="I59" s="2">
        <v>41.2</v>
      </c>
    </row>
    <row r="60" spans="1:9" x14ac:dyDescent="0.2">
      <c r="A60" t="s">
        <v>24</v>
      </c>
      <c r="B60" s="6">
        <v>0.28000000000000003</v>
      </c>
      <c r="C60" s="6">
        <v>0.72</v>
      </c>
      <c r="D60" s="6">
        <v>2012</v>
      </c>
      <c r="E60" s="8">
        <f t="shared" si="0"/>
        <v>1.1666666666666667</v>
      </c>
      <c r="F60" s="6">
        <f t="shared" si="1"/>
        <v>0.94736842105263153</v>
      </c>
      <c r="G60" s="9">
        <v>0.76</v>
      </c>
      <c r="H60" s="2">
        <v>37.4</v>
      </c>
      <c r="I60" s="2">
        <v>40.6</v>
      </c>
    </row>
    <row r="61" spans="1:9" x14ac:dyDescent="0.2">
      <c r="A61" t="s">
        <v>6</v>
      </c>
      <c r="B61" s="6">
        <v>0.24</v>
      </c>
      <c r="C61" s="6">
        <v>0.76</v>
      </c>
      <c r="D61" s="6">
        <v>2012</v>
      </c>
      <c r="E61" s="8">
        <f t="shared" si="0"/>
        <v>1</v>
      </c>
      <c r="F61" s="6">
        <f t="shared" si="1"/>
        <v>1</v>
      </c>
      <c r="G61" s="9">
        <v>0.76</v>
      </c>
      <c r="H61" s="2">
        <v>6.6</v>
      </c>
      <c r="I61" s="2">
        <v>7.4</v>
      </c>
    </row>
    <row r="62" spans="1:9" x14ac:dyDescent="0.2">
      <c r="A62" t="s">
        <v>14</v>
      </c>
      <c r="B62" s="6">
        <v>0.24</v>
      </c>
      <c r="C62" s="6">
        <v>0.76</v>
      </c>
      <c r="D62" s="6">
        <v>2012</v>
      </c>
      <c r="E62" s="8">
        <f t="shared" si="0"/>
        <v>1</v>
      </c>
      <c r="F62" s="6">
        <f t="shared" si="1"/>
        <v>1</v>
      </c>
      <c r="G62" s="9">
        <v>0.76</v>
      </c>
      <c r="H62" s="2">
        <v>48.6</v>
      </c>
      <c r="I62" s="2">
        <v>49.6</v>
      </c>
    </row>
    <row r="63" spans="1:9" x14ac:dyDescent="0.2">
      <c r="A63" t="s">
        <v>34</v>
      </c>
      <c r="B63" s="6">
        <v>0.24</v>
      </c>
      <c r="C63" s="6">
        <v>0.76</v>
      </c>
      <c r="D63" s="6">
        <v>2012</v>
      </c>
      <c r="E63" s="8">
        <f t="shared" si="0"/>
        <v>1</v>
      </c>
      <c r="F63" s="6">
        <f t="shared" si="1"/>
        <v>1</v>
      </c>
      <c r="G63" s="9">
        <v>0.76</v>
      </c>
      <c r="H63" s="2">
        <v>52.6</v>
      </c>
      <c r="I63" s="2">
        <v>54</v>
      </c>
    </row>
    <row r="64" spans="1:9" x14ac:dyDescent="0.2">
      <c r="A64" t="s">
        <v>50</v>
      </c>
      <c r="B64" s="6">
        <v>0.26</v>
      </c>
      <c r="C64" s="6">
        <v>0.74</v>
      </c>
      <c r="D64" s="6">
        <v>2012</v>
      </c>
      <c r="E64" s="8">
        <f t="shared" si="0"/>
        <v>1.0833333333333335</v>
      </c>
      <c r="F64" s="6">
        <f t="shared" si="1"/>
        <v>0.97368421052631582</v>
      </c>
      <c r="G64" s="9">
        <v>0.76</v>
      </c>
      <c r="H64" s="2">
        <v>27</v>
      </c>
      <c r="I64" s="2">
        <v>28.3</v>
      </c>
    </row>
    <row r="65" spans="1:9" x14ac:dyDescent="0.2">
      <c r="A65" t="s">
        <v>8</v>
      </c>
      <c r="B65" s="6">
        <v>0.17</v>
      </c>
      <c r="C65" s="6">
        <v>0.83</v>
      </c>
      <c r="D65" s="6">
        <v>2012</v>
      </c>
      <c r="E65" s="8">
        <f t="shared" si="0"/>
        <v>0.70833333333333337</v>
      </c>
      <c r="F65" s="6">
        <f t="shared" si="1"/>
        <v>1.0921052631578947</v>
      </c>
      <c r="G65" s="9">
        <v>0.76</v>
      </c>
      <c r="H65" s="2">
        <v>63</v>
      </c>
      <c r="I65" s="2">
        <v>66.400000000000006</v>
      </c>
    </row>
    <row r="66" spans="1:9" x14ac:dyDescent="0.2">
      <c r="A66" t="s">
        <v>27</v>
      </c>
      <c r="B66" s="6">
        <v>0.25</v>
      </c>
      <c r="C66" s="6">
        <v>0.75</v>
      </c>
      <c r="D66" s="6">
        <v>2012</v>
      </c>
      <c r="E66" s="8">
        <f t="shared" si="0"/>
        <v>1.0416666666666667</v>
      </c>
      <c r="F66" s="6">
        <f t="shared" si="1"/>
        <v>0.98684210526315785</v>
      </c>
      <c r="G66" s="9">
        <v>0.76</v>
      </c>
      <c r="H66" s="2">
        <v>37.299999999999997</v>
      </c>
      <c r="I66" s="2">
        <v>41.4</v>
      </c>
    </row>
    <row r="67" spans="1:9" x14ac:dyDescent="0.2">
      <c r="A67" t="s">
        <v>21</v>
      </c>
      <c r="B67" s="6">
        <v>0.26</v>
      </c>
      <c r="C67" s="6">
        <v>0.74</v>
      </c>
      <c r="D67" s="6">
        <v>2012</v>
      </c>
      <c r="E67" s="8">
        <f t="shared" ref="E67:E130" si="2">B67/(1-G67)</f>
        <v>1.0833333333333335</v>
      </c>
      <c r="F67" s="6">
        <f t="shared" ref="F67:F130" si="3">C67/G67</f>
        <v>0.97368421052631582</v>
      </c>
      <c r="G67" s="9">
        <v>0.76</v>
      </c>
      <c r="H67" s="2">
        <v>49.5</v>
      </c>
      <c r="I67" s="2">
        <v>55.2</v>
      </c>
    </row>
    <row r="68" spans="1:9" x14ac:dyDescent="0.2">
      <c r="A68" t="s">
        <v>5</v>
      </c>
      <c r="B68" s="6">
        <v>0.27</v>
      </c>
      <c r="C68" s="6">
        <v>0.73</v>
      </c>
      <c r="D68" s="6">
        <v>2012</v>
      </c>
      <c r="E68" s="8">
        <f t="shared" si="2"/>
        <v>1.1250000000000002</v>
      </c>
      <c r="F68" s="6">
        <f t="shared" si="3"/>
        <v>0.96052631578947367</v>
      </c>
      <c r="G68" s="9">
        <v>0.76</v>
      </c>
      <c r="H68" s="2">
        <v>45.2</v>
      </c>
      <c r="I68" s="2">
        <v>47</v>
      </c>
    </row>
    <row r="69" spans="1:9" x14ac:dyDescent="0.2">
      <c r="A69" t="s">
        <v>23</v>
      </c>
      <c r="B69" s="6">
        <v>0.26</v>
      </c>
      <c r="C69" s="6">
        <v>0.74</v>
      </c>
      <c r="D69" s="6">
        <v>2012</v>
      </c>
      <c r="E69" s="8">
        <f t="shared" si="2"/>
        <v>1.0833333333333335</v>
      </c>
      <c r="F69" s="6">
        <f t="shared" si="3"/>
        <v>0.97368421052631582</v>
      </c>
      <c r="G69" s="9">
        <v>0.76</v>
      </c>
      <c r="H69" s="2">
        <v>57.6</v>
      </c>
      <c r="I69" s="2">
        <v>61.1</v>
      </c>
    </row>
    <row r="70" spans="1:9" x14ac:dyDescent="0.2">
      <c r="A70" t="s">
        <v>18</v>
      </c>
      <c r="B70" s="6">
        <v>0.22</v>
      </c>
      <c r="C70" s="6">
        <v>0.78</v>
      </c>
      <c r="D70" s="6">
        <v>2012</v>
      </c>
      <c r="E70" s="8">
        <f t="shared" si="2"/>
        <v>0.91666666666666674</v>
      </c>
      <c r="F70" s="6">
        <f t="shared" si="3"/>
        <v>1.0263157894736843</v>
      </c>
      <c r="G70" s="9">
        <v>0.76</v>
      </c>
      <c r="H70" s="2">
        <v>58.2</v>
      </c>
      <c r="I70" s="2">
        <v>61.5</v>
      </c>
    </row>
    <row r="71" spans="1:9" x14ac:dyDescent="0.2">
      <c r="A71" t="s">
        <v>42</v>
      </c>
      <c r="B71" s="6">
        <v>0.26</v>
      </c>
      <c r="C71" s="6">
        <v>0.74</v>
      </c>
      <c r="D71" s="6">
        <v>2012</v>
      </c>
      <c r="E71" s="8">
        <f t="shared" si="2"/>
        <v>1.0833333333333335</v>
      </c>
      <c r="F71" s="6">
        <f t="shared" si="3"/>
        <v>0.97368421052631582</v>
      </c>
      <c r="G71" s="9">
        <v>0.76</v>
      </c>
      <c r="H71" s="2">
        <v>59.5</v>
      </c>
      <c r="I71" s="2">
        <v>58.7</v>
      </c>
    </row>
    <row r="72" spans="1:9" x14ac:dyDescent="0.2">
      <c r="A72" t="s">
        <v>19</v>
      </c>
      <c r="B72" s="6">
        <v>0.25</v>
      </c>
      <c r="C72" s="6">
        <v>0.75</v>
      </c>
      <c r="D72" s="6">
        <v>2012</v>
      </c>
      <c r="E72" s="8">
        <f t="shared" si="2"/>
        <v>1.0416666666666667</v>
      </c>
      <c r="F72" s="6">
        <f t="shared" si="3"/>
        <v>0.98684210526315785</v>
      </c>
      <c r="G72" s="9">
        <v>0.76</v>
      </c>
      <c r="H72" s="2">
        <v>41.2</v>
      </c>
      <c r="I72" s="2">
        <v>42.1</v>
      </c>
    </row>
    <row r="73" spans="1:9" x14ac:dyDescent="0.2">
      <c r="A73" t="s">
        <v>16</v>
      </c>
      <c r="B73" s="6">
        <v>0.26</v>
      </c>
      <c r="C73" s="6">
        <v>0.74</v>
      </c>
      <c r="D73" s="6">
        <v>2012</v>
      </c>
      <c r="E73" s="8">
        <f t="shared" si="2"/>
        <v>1.0833333333333335</v>
      </c>
      <c r="F73" s="6">
        <f t="shared" si="3"/>
        <v>0.97368421052631582</v>
      </c>
      <c r="G73" s="9">
        <v>0.76</v>
      </c>
      <c r="H73" s="2">
        <v>37.1</v>
      </c>
      <c r="I73" s="2">
        <v>36.700000000000003</v>
      </c>
    </row>
    <row r="74" spans="1:9" x14ac:dyDescent="0.2">
      <c r="A74" t="s">
        <v>4</v>
      </c>
      <c r="B74" s="6">
        <v>0.2</v>
      </c>
      <c r="C74" s="6">
        <v>0.8</v>
      </c>
      <c r="D74" s="6">
        <v>2012</v>
      </c>
      <c r="E74" s="8">
        <f t="shared" si="2"/>
        <v>0.83333333333333337</v>
      </c>
      <c r="F74" s="6">
        <f t="shared" si="3"/>
        <v>1.0526315789473684</v>
      </c>
      <c r="G74" s="9">
        <v>0.76</v>
      </c>
      <c r="H74" s="2">
        <v>36.799999999999997</v>
      </c>
      <c r="I74" s="2">
        <v>38.200000000000003</v>
      </c>
    </row>
    <row r="75" spans="1:9" x14ac:dyDescent="0.2">
      <c r="A75" t="s">
        <v>33</v>
      </c>
      <c r="B75" s="6">
        <v>0.23</v>
      </c>
      <c r="C75" s="6">
        <v>0.77</v>
      </c>
      <c r="D75" s="6">
        <v>2012</v>
      </c>
      <c r="E75" s="8">
        <f t="shared" si="2"/>
        <v>0.95833333333333337</v>
      </c>
      <c r="F75" s="6">
        <f t="shared" si="3"/>
        <v>1.013157894736842</v>
      </c>
      <c r="G75" s="9">
        <v>0.76</v>
      </c>
      <c r="H75" s="2">
        <v>41.6</v>
      </c>
      <c r="I75" s="2">
        <v>45.2</v>
      </c>
    </row>
    <row r="76" spans="1:9" x14ac:dyDescent="0.2">
      <c r="A76" t="s">
        <v>47</v>
      </c>
      <c r="B76" s="6">
        <v>0.24</v>
      </c>
      <c r="C76" s="6">
        <v>0.76</v>
      </c>
      <c r="D76" s="6">
        <v>2012</v>
      </c>
      <c r="E76" s="8">
        <f t="shared" si="2"/>
        <v>1</v>
      </c>
      <c r="F76" s="6">
        <f t="shared" si="3"/>
        <v>1</v>
      </c>
      <c r="G76" s="9">
        <v>0.76</v>
      </c>
      <c r="H76" s="2">
        <v>44.8</v>
      </c>
      <c r="I76" s="2">
        <v>46.1</v>
      </c>
    </row>
    <row r="77" spans="1:9" x14ac:dyDescent="0.2">
      <c r="A77" t="s">
        <v>38</v>
      </c>
      <c r="B77" s="6">
        <v>0.3</v>
      </c>
      <c r="C77" s="6">
        <v>0.7</v>
      </c>
      <c r="D77" s="6">
        <v>2012</v>
      </c>
      <c r="E77" s="8">
        <f t="shared" si="2"/>
        <v>1.25</v>
      </c>
      <c r="F77" s="6">
        <f t="shared" si="3"/>
        <v>0.92105263157894735</v>
      </c>
      <c r="G77" s="9">
        <v>0.76</v>
      </c>
      <c r="H77" s="2">
        <v>56.6</v>
      </c>
      <c r="I77" s="2">
        <v>55.8</v>
      </c>
    </row>
    <row r="78" spans="1:9" x14ac:dyDescent="0.2">
      <c r="A78" t="s">
        <v>30</v>
      </c>
      <c r="B78" s="6">
        <v>0.24</v>
      </c>
      <c r="C78" s="6">
        <v>0.76</v>
      </c>
      <c r="D78" s="6">
        <v>2012</v>
      </c>
      <c r="E78" s="8">
        <f t="shared" si="2"/>
        <v>1</v>
      </c>
      <c r="F78" s="6">
        <f t="shared" si="3"/>
        <v>1</v>
      </c>
      <c r="G78" s="9">
        <v>0.76</v>
      </c>
      <c r="H78" s="2">
        <v>50.1</v>
      </c>
      <c r="I78" s="2">
        <v>54.8</v>
      </c>
    </row>
    <row r="79" spans="1:9" x14ac:dyDescent="0.2">
      <c r="A79" t="s">
        <v>32</v>
      </c>
      <c r="B79" s="6">
        <v>0.23</v>
      </c>
      <c r="C79" s="6">
        <v>0.77</v>
      </c>
      <c r="D79" s="6">
        <v>2012</v>
      </c>
      <c r="E79" s="8">
        <f t="shared" si="2"/>
        <v>0.95833333333333337</v>
      </c>
      <c r="F79" s="6">
        <f t="shared" si="3"/>
        <v>1.013157894736842</v>
      </c>
      <c r="G79" s="9">
        <v>0.76</v>
      </c>
      <c r="H79" s="2">
        <v>51.2</v>
      </c>
      <c r="I79" s="2">
        <v>57</v>
      </c>
    </row>
    <row r="80" spans="1:9" x14ac:dyDescent="0.2">
      <c r="A80" t="s">
        <v>37</v>
      </c>
      <c r="B80" s="6">
        <v>0.25</v>
      </c>
      <c r="C80" s="6">
        <v>0.75</v>
      </c>
      <c r="D80" s="6">
        <v>2012</v>
      </c>
      <c r="E80" s="8">
        <f t="shared" si="2"/>
        <v>1.0416666666666667</v>
      </c>
      <c r="F80" s="6">
        <f t="shared" si="3"/>
        <v>0.98684210526315785</v>
      </c>
      <c r="G80" s="9">
        <v>0.76</v>
      </c>
      <c r="H80" s="2">
        <v>57.6</v>
      </c>
      <c r="I80" s="2">
        <v>61.1</v>
      </c>
    </row>
    <row r="81" spans="1:9" x14ac:dyDescent="0.2">
      <c r="A81" t="s">
        <v>10</v>
      </c>
      <c r="B81" s="6">
        <v>0.25</v>
      </c>
      <c r="C81" s="6">
        <v>0.75</v>
      </c>
      <c r="D81" s="6">
        <v>2012</v>
      </c>
      <c r="E81" s="8">
        <f t="shared" si="2"/>
        <v>1.0416666666666667</v>
      </c>
      <c r="F81" s="6">
        <f t="shared" si="3"/>
        <v>0.98684210526315785</v>
      </c>
      <c r="G81" s="9">
        <v>0.76</v>
      </c>
      <c r="H81" s="2">
        <v>43.6</v>
      </c>
      <c r="I81" s="2">
        <v>46.6</v>
      </c>
    </row>
    <row r="82" spans="1:9" x14ac:dyDescent="0.2">
      <c r="A82" t="s">
        <v>3</v>
      </c>
      <c r="B82" s="6">
        <v>0.22</v>
      </c>
      <c r="C82" s="6">
        <v>0.78</v>
      </c>
      <c r="D82" s="6">
        <v>2012</v>
      </c>
      <c r="E82" s="8">
        <f t="shared" si="2"/>
        <v>0.91666666666666674</v>
      </c>
      <c r="F82" s="6">
        <f t="shared" si="3"/>
        <v>1.0263157894736843</v>
      </c>
      <c r="G82" s="9">
        <v>0.76</v>
      </c>
      <c r="H82" s="2">
        <v>45.1</v>
      </c>
      <c r="I82" s="2">
        <v>47.2</v>
      </c>
    </row>
    <row r="83" spans="1:9" x14ac:dyDescent="0.2">
      <c r="A83" t="s">
        <v>11</v>
      </c>
      <c r="B83" s="6">
        <v>0.26</v>
      </c>
      <c r="C83" s="6">
        <v>0.74</v>
      </c>
      <c r="D83" s="6">
        <v>2012</v>
      </c>
      <c r="E83" s="8">
        <f t="shared" si="2"/>
        <v>1.0833333333333335</v>
      </c>
      <c r="F83" s="6">
        <f t="shared" si="3"/>
        <v>0.97368421052631582</v>
      </c>
      <c r="G83" s="9">
        <v>0.76</v>
      </c>
      <c r="H83" s="2">
        <v>42.1</v>
      </c>
      <c r="I83" s="2">
        <v>41</v>
      </c>
    </row>
    <row r="84" spans="1:9" x14ac:dyDescent="0.2">
      <c r="A84" t="s">
        <v>29</v>
      </c>
      <c r="B84" s="6">
        <v>0.22</v>
      </c>
      <c r="C84" s="6">
        <v>0.78</v>
      </c>
      <c r="D84" s="6">
        <v>2012</v>
      </c>
      <c r="E84" s="8">
        <f t="shared" si="2"/>
        <v>0.91666666666666674</v>
      </c>
      <c r="F84" s="6">
        <f t="shared" si="3"/>
        <v>1.0263157894736843</v>
      </c>
      <c r="G84" s="9">
        <v>0.76</v>
      </c>
      <c r="H84" s="2">
        <v>42.3</v>
      </c>
      <c r="I84" s="2">
        <v>44.7</v>
      </c>
    </row>
    <row r="85" spans="1:9" x14ac:dyDescent="0.2">
      <c r="A85" t="s">
        <v>26</v>
      </c>
      <c r="B85" s="6">
        <v>0.25</v>
      </c>
      <c r="C85" s="6">
        <v>0.75</v>
      </c>
      <c r="D85" s="6">
        <v>2012</v>
      </c>
      <c r="E85" s="8">
        <f t="shared" si="2"/>
        <v>1.0416666666666667</v>
      </c>
      <c r="F85" s="6">
        <f t="shared" si="3"/>
        <v>0.98684210526315785</v>
      </c>
      <c r="G85" s="9">
        <v>0.76</v>
      </c>
      <c r="H85" s="2">
        <v>36.4</v>
      </c>
      <c r="I85" s="2">
        <v>35.700000000000003</v>
      </c>
    </row>
    <row r="86" spans="1:9" x14ac:dyDescent="0.2">
      <c r="A86" t="s">
        <v>15</v>
      </c>
      <c r="B86" s="6">
        <v>0.24</v>
      </c>
      <c r="C86" s="6">
        <v>0.76</v>
      </c>
      <c r="D86" s="6">
        <v>2012</v>
      </c>
      <c r="E86" s="8">
        <f t="shared" si="2"/>
        <v>1</v>
      </c>
      <c r="F86" s="6">
        <f t="shared" si="3"/>
        <v>1</v>
      </c>
      <c r="G86" s="9">
        <v>0.76</v>
      </c>
      <c r="H86" s="2">
        <v>49.8</v>
      </c>
      <c r="I86" s="2">
        <v>51</v>
      </c>
    </row>
    <row r="87" spans="1:9" x14ac:dyDescent="0.2">
      <c r="A87" t="s">
        <v>46</v>
      </c>
      <c r="B87" s="6">
        <v>0.24</v>
      </c>
      <c r="C87" s="6">
        <v>0.76</v>
      </c>
      <c r="D87" s="6">
        <v>2012</v>
      </c>
      <c r="E87" s="8">
        <f t="shared" si="2"/>
        <v>1</v>
      </c>
      <c r="F87" s="6">
        <f t="shared" si="3"/>
        <v>1</v>
      </c>
      <c r="G87" s="9">
        <v>0.76</v>
      </c>
      <c r="H87" s="2">
        <v>54.4</v>
      </c>
      <c r="I87" s="2">
        <v>60.1</v>
      </c>
    </row>
    <row r="88" spans="1:9" x14ac:dyDescent="0.2">
      <c r="A88" t="s">
        <v>1</v>
      </c>
      <c r="B88" s="6">
        <v>0.23</v>
      </c>
      <c r="C88" s="6">
        <v>0.77</v>
      </c>
      <c r="D88" s="6">
        <v>2012</v>
      </c>
      <c r="E88" s="8">
        <f t="shared" si="2"/>
        <v>0.95833333333333337</v>
      </c>
      <c r="F88" s="6">
        <f t="shared" si="3"/>
        <v>1.013157894736842</v>
      </c>
      <c r="G88" s="9">
        <v>0.76</v>
      </c>
      <c r="H88" s="2">
        <v>47.7</v>
      </c>
      <c r="I88" s="2">
        <v>48.5</v>
      </c>
    </row>
    <row r="89" spans="1:9" x14ac:dyDescent="0.2">
      <c r="A89" t="s">
        <v>41</v>
      </c>
      <c r="B89" s="6">
        <v>0.23</v>
      </c>
      <c r="C89" s="6">
        <v>0.77</v>
      </c>
      <c r="D89" s="6">
        <v>2012</v>
      </c>
      <c r="E89" s="8">
        <f t="shared" si="2"/>
        <v>0.95833333333333337</v>
      </c>
      <c r="F89" s="6">
        <f t="shared" si="3"/>
        <v>1.013157894736842</v>
      </c>
      <c r="G89" s="9">
        <v>0.76</v>
      </c>
      <c r="H89" s="2">
        <v>65.599999999999994</v>
      </c>
      <c r="I89" s="2">
        <v>66.8</v>
      </c>
    </row>
    <row r="90" spans="1:9" x14ac:dyDescent="0.2">
      <c r="A90" t="s">
        <v>31</v>
      </c>
      <c r="B90" s="6">
        <v>0.23</v>
      </c>
      <c r="C90" s="6">
        <v>0.77</v>
      </c>
      <c r="D90" s="6">
        <v>2012</v>
      </c>
      <c r="E90" s="8">
        <f t="shared" si="2"/>
        <v>0.95833333333333337</v>
      </c>
      <c r="F90" s="6">
        <f t="shared" si="3"/>
        <v>1.013157894736842</v>
      </c>
      <c r="G90" s="9">
        <v>0.76</v>
      </c>
      <c r="H90" s="2">
        <v>41.6</v>
      </c>
      <c r="I90" s="2">
        <v>43.7</v>
      </c>
    </row>
    <row r="91" spans="1:9" x14ac:dyDescent="0.2">
      <c r="A91" t="s">
        <v>17</v>
      </c>
      <c r="B91" s="6">
        <v>0.24</v>
      </c>
      <c r="C91" s="6">
        <v>0.76</v>
      </c>
      <c r="D91" s="6">
        <v>2012</v>
      </c>
      <c r="E91" s="8">
        <f t="shared" si="2"/>
        <v>1</v>
      </c>
      <c r="F91" s="6">
        <f t="shared" si="3"/>
        <v>1</v>
      </c>
      <c r="G91" s="9">
        <v>0.76</v>
      </c>
      <c r="H91" s="2">
        <v>44.8</v>
      </c>
      <c r="I91" s="2">
        <v>47.3</v>
      </c>
    </row>
    <row r="92" spans="1:9" x14ac:dyDescent="0.2">
      <c r="A92" t="s">
        <v>7</v>
      </c>
      <c r="B92" s="6">
        <v>0.21</v>
      </c>
      <c r="C92" s="6">
        <v>0.79</v>
      </c>
      <c r="D92" s="6">
        <v>2012</v>
      </c>
      <c r="E92" s="8">
        <f t="shared" si="2"/>
        <v>0.875</v>
      </c>
      <c r="F92" s="6">
        <f t="shared" si="3"/>
        <v>1.0394736842105263</v>
      </c>
      <c r="G92" s="9">
        <v>0.76</v>
      </c>
      <c r="H92" s="2">
        <v>35.799999999999997</v>
      </c>
      <c r="I92" s="2">
        <v>36</v>
      </c>
    </row>
    <row r="93" spans="1:9" x14ac:dyDescent="0.2">
      <c r="A93" t="s">
        <v>39</v>
      </c>
      <c r="B93" s="6">
        <v>0.27</v>
      </c>
      <c r="C93" s="6">
        <v>0.73</v>
      </c>
      <c r="D93" s="6">
        <v>2012</v>
      </c>
      <c r="E93" s="8">
        <f t="shared" si="2"/>
        <v>1.1250000000000002</v>
      </c>
      <c r="F93" s="6">
        <f t="shared" si="3"/>
        <v>0.96052631578947367</v>
      </c>
      <c r="G93" s="9">
        <v>0.76</v>
      </c>
      <c r="H93" s="2">
        <v>54.5</v>
      </c>
      <c r="I93" s="2">
        <v>55.3</v>
      </c>
    </row>
    <row r="94" spans="1:9" x14ac:dyDescent="0.2">
      <c r="A94" t="s">
        <v>43</v>
      </c>
      <c r="B94" s="6">
        <v>0.27</v>
      </c>
      <c r="C94" s="6">
        <v>0.73</v>
      </c>
      <c r="D94" s="6">
        <v>2012</v>
      </c>
      <c r="E94" s="8">
        <f t="shared" si="2"/>
        <v>1.1250000000000002</v>
      </c>
      <c r="F94" s="6">
        <f t="shared" si="3"/>
        <v>0.96052631578947367</v>
      </c>
      <c r="G94" s="9">
        <v>0.76</v>
      </c>
      <c r="H94" s="2">
        <v>54.3</v>
      </c>
      <c r="I94" s="2">
        <v>59.2</v>
      </c>
    </row>
    <row r="95" spans="1:9" x14ac:dyDescent="0.2">
      <c r="A95" t="s">
        <v>36</v>
      </c>
      <c r="B95" s="6">
        <v>0.24</v>
      </c>
      <c r="C95" s="6">
        <v>0.76</v>
      </c>
      <c r="D95" s="6">
        <v>2012</v>
      </c>
      <c r="E95" s="8">
        <f t="shared" si="2"/>
        <v>1</v>
      </c>
      <c r="F95" s="6">
        <f t="shared" si="3"/>
        <v>1</v>
      </c>
      <c r="G95" s="9">
        <v>0.76</v>
      </c>
      <c r="H95" s="2">
        <v>57.6</v>
      </c>
      <c r="I95" s="2">
        <v>60.4</v>
      </c>
    </row>
    <row r="96" spans="1:9" x14ac:dyDescent="0.2">
      <c r="A96" t="s">
        <v>48</v>
      </c>
      <c r="B96" s="6">
        <v>0.25</v>
      </c>
      <c r="C96" s="6">
        <v>0.75</v>
      </c>
      <c r="D96" s="6">
        <v>2012</v>
      </c>
      <c r="E96" s="8">
        <f t="shared" si="2"/>
        <v>1.0416666666666667</v>
      </c>
      <c r="F96" s="6">
        <f t="shared" si="3"/>
        <v>0.98684210526315785</v>
      </c>
      <c r="G96" s="9">
        <v>0.76</v>
      </c>
      <c r="H96" s="2">
        <v>55.9</v>
      </c>
      <c r="I96" s="2">
        <v>58</v>
      </c>
    </row>
    <row r="97" spans="1:9" x14ac:dyDescent="0.2">
      <c r="A97" t="s">
        <v>0</v>
      </c>
      <c r="B97" s="6">
        <v>0.14000000000000001</v>
      </c>
      <c r="C97" s="6">
        <v>0.86</v>
      </c>
      <c r="D97" s="6">
        <v>2012</v>
      </c>
      <c r="E97" s="8">
        <f t="shared" si="2"/>
        <v>0.58333333333333337</v>
      </c>
      <c r="F97" s="6">
        <f t="shared" si="3"/>
        <v>1.131578947368421</v>
      </c>
      <c r="G97" s="9">
        <v>0.76</v>
      </c>
      <c r="H97" s="2">
        <v>64.5</v>
      </c>
      <c r="I97" s="2">
        <v>74.599999999999994</v>
      </c>
    </row>
    <row r="98" spans="1:9" x14ac:dyDescent="0.2">
      <c r="A98" t="s">
        <v>9</v>
      </c>
      <c r="B98" s="6">
        <v>0.22</v>
      </c>
      <c r="C98" s="6">
        <v>0.78</v>
      </c>
      <c r="D98" s="6">
        <v>2012</v>
      </c>
      <c r="E98" s="8">
        <f t="shared" si="2"/>
        <v>0.91666666666666674</v>
      </c>
      <c r="F98" s="6">
        <f t="shared" si="3"/>
        <v>1.0263157894736843</v>
      </c>
      <c r="G98" s="9">
        <v>0.76</v>
      </c>
      <c r="H98" s="2">
        <v>31.1</v>
      </c>
      <c r="I98" s="2">
        <v>31.8</v>
      </c>
    </row>
    <row r="99" spans="1:9" x14ac:dyDescent="0.2">
      <c r="A99" t="s">
        <v>2</v>
      </c>
      <c r="B99" s="6">
        <v>0.23</v>
      </c>
      <c r="C99" s="6">
        <v>0.77</v>
      </c>
      <c r="D99" s="6">
        <v>2012</v>
      </c>
      <c r="E99" s="8">
        <f t="shared" si="2"/>
        <v>0.95833333333333337</v>
      </c>
      <c r="F99" s="6">
        <f t="shared" si="3"/>
        <v>1.013157894736842</v>
      </c>
      <c r="G99" s="9">
        <v>0.76</v>
      </c>
      <c r="H99" s="2">
        <v>46.8</v>
      </c>
      <c r="I99" s="2">
        <v>48</v>
      </c>
    </row>
    <row r="100" spans="1:9" x14ac:dyDescent="0.2">
      <c r="A100" t="s">
        <v>40</v>
      </c>
      <c r="B100" s="6">
        <v>0.23</v>
      </c>
      <c r="C100" s="6">
        <v>0.77</v>
      </c>
      <c r="D100" s="6">
        <v>2012</v>
      </c>
      <c r="E100" s="8">
        <f t="shared" si="2"/>
        <v>0.95833333333333337</v>
      </c>
      <c r="F100" s="6">
        <f t="shared" si="3"/>
        <v>1.013157894736842</v>
      </c>
      <c r="G100" s="9">
        <v>0.76</v>
      </c>
      <c r="H100" s="2">
        <v>41.2</v>
      </c>
      <c r="I100" s="2">
        <v>42.4</v>
      </c>
    </row>
    <row r="101" spans="1:9" x14ac:dyDescent="0.2">
      <c r="A101" t="s">
        <v>13</v>
      </c>
      <c r="B101" s="6">
        <v>0.22</v>
      </c>
      <c r="C101" s="6">
        <v>0.78</v>
      </c>
      <c r="D101" s="6">
        <v>2012</v>
      </c>
      <c r="E101" s="8">
        <f t="shared" si="2"/>
        <v>0.91666666666666674</v>
      </c>
      <c r="F101" s="6">
        <f t="shared" si="3"/>
        <v>1.0263157894736843</v>
      </c>
      <c r="G101" s="9">
        <v>0.76</v>
      </c>
      <c r="H101" s="2">
        <v>56.7</v>
      </c>
      <c r="I101" s="2">
        <v>63.7</v>
      </c>
    </row>
    <row r="102" spans="1:9" x14ac:dyDescent="0.2">
      <c r="A102" t="s">
        <v>25</v>
      </c>
      <c r="B102" s="6">
        <v>0.25</v>
      </c>
      <c r="C102" s="6">
        <v>0.75</v>
      </c>
      <c r="D102" s="6">
        <v>2012</v>
      </c>
      <c r="E102" s="8">
        <f t="shared" si="2"/>
        <v>1.0416666666666667</v>
      </c>
      <c r="F102" s="6">
        <f t="shared" si="3"/>
        <v>0.98684210526315785</v>
      </c>
      <c r="G102" s="9">
        <v>0.76</v>
      </c>
      <c r="H102" s="2">
        <v>42.9</v>
      </c>
      <c r="I102" s="2">
        <v>46.5</v>
      </c>
    </row>
    <row r="103" spans="1:9" x14ac:dyDescent="0.2">
      <c r="A103" t="s">
        <v>45</v>
      </c>
      <c r="B103" s="6">
        <v>0.22</v>
      </c>
      <c r="C103" s="6">
        <v>0.78</v>
      </c>
      <c r="D103" s="6">
        <v>2012</v>
      </c>
      <c r="E103" s="8">
        <f t="shared" si="2"/>
        <v>0.91666666666666674</v>
      </c>
      <c r="F103" s="6">
        <f t="shared" si="3"/>
        <v>1.0263157894736843</v>
      </c>
      <c r="G103" s="9">
        <v>0.76</v>
      </c>
      <c r="H103" s="2">
        <v>66.599999999999994</v>
      </c>
      <c r="I103" s="2">
        <v>71.2</v>
      </c>
    </row>
    <row r="104" spans="1:9" x14ac:dyDescent="0.2">
      <c r="A104" t="s">
        <v>22</v>
      </c>
      <c r="B104" s="6">
        <v>0.55000000000000004</v>
      </c>
      <c r="C104" s="6">
        <v>0.45</v>
      </c>
      <c r="D104" s="6">
        <v>2008</v>
      </c>
      <c r="E104" s="8">
        <f t="shared" si="2"/>
        <v>0.96491228070175439</v>
      </c>
      <c r="F104" s="6">
        <f t="shared" si="3"/>
        <v>1.0465116279069768</v>
      </c>
      <c r="G104" s="6">
        <v>0.43</v>
      </c>
      <c r="H104" s="2">
        <v>62.9</v>
      </c>
      <c r="I104" s="2">
        <v>60.9</v>
      </c>
    </row>
    <row r="105" spans="1:9" x14ac:dyDescent="0.2">
      <c r="A105" t="s">
        <v>49</v>
      </c>
      <c r="B105" s="6">
        <v>0.52</v>
      </c>
      <c r="C105" s="6">
        <v>0.48</v>
      </c>
      <c r="D105" s="6">
        <v>2008</v>
      </c>
      <c r="E105" s="8">
        <f t="shared" si="2"/>
        <v>0.91228070175438591</v>
      </c>
      <c r="F105" s="6">
        <f t="shared" si="3"/>
        <v>1.1162790697674418</v>
      </c>
      <c r="G105" s="6">
        <v>0.43</v>
      </c>
      <c r="H105" s="2">
        <v>63.2</v>
      </c>
      <c r="I105" s="2">
        <v>61.1</v>
      </c>
    </row>
    <row r="106" spans="1:9" x14ac:dyDescent="0.2">
      <c r="A106" t="s">
        <v>28</v>
      </c>
      <c r="B106" s="6">
        <v>0.53</v>
      </c>
      <c r="C106" s="6">
        <v>0.47</v>
      </c>
      <c r="D106" s="6">
        <v>2008</v>
      </c>
      <c r="E106" s="8">
        <f t="shared" si="2"/>
        <v>0.92982456140350866</v>
      </c>
      <c r="F106" s="6">
        <f t="shared" si="3"/>
        <v>1.0930232558139534</v>
      </c>
      <c r="G106" s="6">
        <v>0.43</v>
      </c>
      <c r="H106" s="2">
        <v>55.3</v>
      </c>
      <c r="I106" s="2">
        <v>54.3</v>
      </c>
    </row>
    <row r="107" spans="1:9" x14ac:dyDescent="0.2">
      <c r="A107" t="s">
        <v>35</v>
      </c>
      <c r="B107" s="6">
        <v>0.53</v>
      </c>
      <c r="C107" s="6">
        <v>0.47</v>
      </c>
      <c r="D107" s="6">
        <v>2008</v>
      </c>
      <c r="E107" s="8">
        <f t="shared" si="2"/>
        <v>0.92982456140350866</v>
      </c>
      <c r="F107" s="6">
        <f t="shared" si="3"/>
        <v>1.0930232558139534</v>
      </c>
      <c r="G107" s="6">
        <v>0.43</v>
      </c>
      <c r="H107" s="2">
        <v>54.9</v>
      </c>
      <c r="I107" s="2">
        <v>60.2</v>
      </c>
    </row>
    <row r="108" spans="1:9" x14ac:dyDescent="0.2">
      <c r="A108" t="s">
        <v>44</v>
      </c>
      <c r="B108" s="6">
        <v>0.59</v>
      </c>
      <c r="C108" s="6">
        <v>0.41</v>
      </c>
      <c r="D108" s="6">
        <v>2008</v>
      </c>
      <c r="E108" s="8">
        <f t="shared" si="2"/>
        <v>1.0350877192982455</v>
      </c>
      <c r="F108" s="6">
        <f t="shared" si="3"/>
        <v>0.95348837209302317</v>
      </c>
      <c r="G108" s="6">
        <v>0.43</v>
      </c>
      <c r="H108" s="2">
        <v>45</v>
      </c>
      <c r="I108" s="2">
        <v>37.700000000000003</v>
      </c>
    </row>
    <row r="109" spans="1:9" x14ac:dyDescent="0.2">
      <c r="A109" t="s">
        <v>12</v>
      </c>
      <c r="B109" s="6">
        <v>0.57999999999999996</v>
      </c>
      <c r="C109" s="6">
        <v>0.42</v>
      </c>
      <c r="D109" s="6">
        <v>2008</v>
      </c>
      <c r="E109" s="8">
        <f t="shared" si="2"/>
        <v>1.0175438596491226</v>
      </c>
      <c r="F109" s="6">
        <f t="shared" si="3"/>
        <v>0.97674418604651159</v>
      </c>
      <c r="G109" s="6">
        <v>0.43</v>
      </c>
      <c r="H109" s="2">
        <v>52.4</v>
      </c>
      <c r="I109" s="2">
        <v>45.4</v>
      </c>
    </row>
    <row r="110" spans="1:9" x14ac:dyDescent="0.2">
      <c r="A110" t="s">
        <v>20</v>
      </c>
      <c r="B110" s="6">
        <v>0.56999999999999995</v>
      </c>
      <c r="C110" s="6">
        <v>0.43</v>
      </c>
      <c r="D110" s="6">
        <v>2008</v>
      </c>
      <c r="E110" s="8">
        <f t="shared" si="2"/>
        <v>0.99999999999999978</v>
      </c>
      <c r="F110" s="6">
        <f t="shared" si="3"/>
        <v>1</v>
      </c>
      <c r="G110" s="6">
        <v>0.43</v>
      </c>
      <c r="H110" s="2">
        <v>44.7</v>
      </c>
      <c r="I110" s="2">
        <v>38.700000000000003</v>
      </c>
    </row>
    <row r="111" spans="1:9" x14ac:dyDescent="0.2">
      <c r="A111" t="s">
        <v>24</v>
      </c>
      <c r="B111" s="6">
        <v>0.6</v>
      </c>
      <c r="C111" s="6">
        <v>0.4</v>
      </c>
      <c r="D111" s="6">
        <v>2008</v>
      </c>
      <c r="E111" s="8">
        <f t="shared" si="2"/>
        <v>1.0526315789473684</v>
      </c>
      <c r="F111" s="6">
        <f t="shared" si="3"/>
        <v>0.93023255813953498</v>
      </c>
      <c r="G111" s="6">
        <v>0.43</v>
      </c>
      <c r="H111" s="2">
        <v>46.2</v>
      </c>
      <c r="I111" s="2">
        <v>37.4</v>
      </c>
    </row>
    <row r="112" spans="1:9" x14ac:dyDescent="0.2">
      <c r="A112" t="s">
        <v>6</v>
      </c>
      <c r="B112" s="6">
        <v>0.59</v>
      </c>
      <c r="C112" s="6">
        <v>0.41</v>
      </c>
      <c r="D112" s="6">
        <v>2008</v>
      </c>
      <c r="E112" s="8">
        <f t="shared" si="2"/>
        <v>1.0350877192982455</v>
      </c>
      <c r="F112" s="6">
        <f t="shared" si="3"/>
        <v>0.95348837209302317</v>
      </c>
      <c r="G112" s="6">
        <v>0.43</v>
      </c>
      <c r="H112" s="2">
        <v>9.5</v>
      </c>
      <c r="I112" s="2">
        <v>6.6</v>
      </c>
    </row>
    <row r="113" spans="1:9" x14ac:dyDescent="0.2">
      <c r="A113" t="s">
        <v>14</v>
      </c>
      <c r="B113" s="6">
        <v>0.57999999999999996</v>
      </c>
      <c r="C113" s="6">
        <v>0.42</v>
      </c>
      <c r="D113" s="6">
        <v>2008</v>
      </c>
      <c r="E113" s="8">
        <f t="shared" si="2"/>
        <v>1.0175438596491226</v>
      </c>
      <c r="F113" s="6">
        <f t="shared" si="3"/>
        <v>0.97674418604651159</v>
      </c>
      <c r="G113" s="6">
        <v>0.43</v>
      </c>
      <c r="H113" s="2">
        <v>52.5</v>
      </c>
      <c r="I113" s="2">
        <v>48.6</v>
      </c>
    </row>
    <row r="114" spans="1:9" x14ac:dyDescent="0.2">
      <c r="A114" t="s">
        <v>34</v>
      </c>
      <c r="B114" s="6">
        <v>0.57999999999999996</v>
      </c>
      <c r="C114" s="6">
        <v>0.42</v>
      </c>
      <c r="D114" s="6">
        <v>2008</v>
      </c>
      <c r="E114" s="8">
        <f t="shared" si="2"/>
        <v>1.0175438596491226</v>
      </c>
      <c r="F114" s="6">
        <f t="shared" si="3"/>
        <v>0.97674418604651159</v>
      </c>
      <c r="G114" s="6">
        <v>0.43</v>
      </c>
      <c r="H114" s="2">
        <v>58.4</v>
      </c>
      <c r="I114" s="2">
        <v>52.6</v>
      </c>
    </row>
    <row r="115" spans="1:9" x14ac:dyDescent="0.2">
      <c r="A115" t="s">
        <v>50</v>
      </c>
      <c r="B115" s="6">
        <v>0.63</v>
      </c>
      <c r="C115" s="6">
        <v>0.37</v>
      </c>
      <c r="D115" s="6">
        <v>2008</v>
      </c>
      <c r="E115" s="8">
        <f t="shared" si="2"/>
        <v>1.1052631578947367</v>
      </c>
      <c r="F115" s="6">
        <f t="shared" si="3"/>
        <v>0.86046511627906974</v>
      </c>
      <c r="G115" s="6">
        <v>0.43</v>
      </c>
      <c r="H115" s="2">
        <v>45.6</v>
      </c>
      <c r="I115" s="2">
        <v>27</v>
      </c>
    </row>
    <row r="116" spans="1:9" x14ac:dyDescent="0.2">
      <c r="A116" t="s">
        <v>8</v>
      </c>
      <c r="B116" s="6">
        <v>0.51</v>
      </c>
      <c r="C116" s="6">
        <v>0.49</v>
      </c>
      <c r="D116" s="6">
        <v>2008</v>
      </c>
      <c r="E116" s="8">
        <f t="shared" si="2"/>
        <v>0.89473684210526305</v>
      </c>
      <c r="F116" s="6">
        <f t="shared" si="3"/>
        <v>1.1395348837209303</v>
      </c>
      <c r="G116" s="6">
        <v>0.43</v>
      </c>
      <c r="H116" s="2">
        <v>69.3</v>
      </c>
      <c r="I116" s="2">
        <v>63</v>
      </c>
    </row>
    <row r="117" spans="1:9" x14ac:dyDescent="0.2">
      <c r="A117" t="s">
        <v>27</v>
      </c>
      <c r="B117" s="6">
        <v>0.6</v>
      </c>
      <c r="C117" s="6">
        <v>0.4</v>
      </c>
      <c r="D117" s="6">
        <v>2008</v>
      </c>
      <c r="E117" s="8">
        <f t="shared" si="2"/>
        <v>1.0526315789473684</v>
      </c>
      <c r="F117" s="6">
        <f t="shared" si="3"/>
        <v>0.93023255813953498</v>
      </c>
      <c r="G117" s="6">
        <v>0.43</v>
      </c>
      <c r="H117" s="2">
        <v>44.8</v>
      </c>
      <c r="I117" s="2">
        <v>37.299999999999997</v>
      </c>
    </row>
    <row r="118" spans="1:9" x14ac:dyDescent="0.2">
      <c r="A118" t="s">
        <v>21</v>
      </c>
      <c r="B118" s="6">
        <v>0.57999999999999996</v>
      </c>
      <c r="C118" s="6">
        <v>0.42</v>
      </c>
      <c r="D118" s="6">
        <v>2008</v>
      </c>
      <c r="E118" s="8">
        <f t="shared" si="2"/>
        <v>1.0175438596491226</v>
      </c>
      <c r="F118" s="6">
        <f t="shared" si="3"/>
        <v>0.97674418604651159</v>
      </c>
      <c r="G118" s="6">
        <v>0.43</v>
      </c>
      <c r="H118" s="2">
        <v>60.4</v>
      </c>
      <c r="I118" s="2">
        <v>49.5</v>
      </c>
    </row>
    <row r="119" spans="1:9" x14ac:dyDescent="0.2">
      <c r="A119" t="s">
        <v>5</v>
      </c>
      <c r="B119" s="6">
        <v>0.56000000000000005</v>
      </c>
      <c r="C119" s="6">
        <v>0.44</v>
      </c>
      <c r="D119" s="6">
        <v>2008</v>
      </c>
      <c r="E119" s="8">
        <f t="shared" si="2"/>
        <v>0.98245614035087714</v>
      </c>
      <c r="F119" s="6">
        <f t="shared" si="3"/>
        <v>1.0232558139534884</v>
      </c>
      <c r="G119" s="6">
        <v>0.43</v>
      </c>
      <c r="H119" s="2">
        <v>50.3</v>
      </c>
      <c r="I119" s="2">
        <v>45.2</v>
      </c>
    </row>
    <row r="120" spans="1:9" x14ac:dyDescent="0.2">
      <c r="A120" t="s">
        <v>23</v>
      </c>
      <c r="B120" s="6">
        <v>0.55000000000000004</v>
      </c>
      <c r="C120" s="6">
        <v>0.45</v>
      </c>
      <c r="D120" s="6">
        <v>2008</v>
      </c>
      <c r="E120" s="8">
        <f t="shared" si="2"/>
        <v>0.96491228070175439</v>
      </c>
      <c r="F120" s="6">
        <f t="shared" si="3"/>
        <v>1.0465116279069768</v>
      </c>
      <c r="G120" s="6">
        <v>0.43</v>
      </c>
      <c r="H120" s="2">
        <v>62.9</v>
      </c>
      <c r="I120" s="2">
        <v>57.6</v>
      </c>
    </row>
    <row r="121" spans="1:9" x14ac:dyDescent="0.2">
      <c r="A121" t="s">
        <v>18</v>
      </c>
      <c r="B121" s="6">
        <v>0.56000000000000005</v>
      </c>
      <c r="C121" s="6">
        <v>0.44</v>
      </c>
      <c r="D121" s="6">
        <v>2008</v>
      </c>
      <c r="E121" s="8">
        <f t="shared" si="2"/>
        <v>0.98245614035087714</v>
      </c>
      <c r="F121" s="6">
        <f t="shared" si="3"/>
        <v>1.0232558139534884</v>
      </c>
      <c r="G121" s="6">
        <v>0.43</v>
      </c>
      <c r="H121" s="2">
        <v>60</v>
      </c>
      <c r="I121" s="2">
        <v>58.2</v>
      </c>
    </row>
    <row r="122" spans="1:9" x14ac:dyDescent="0.2">
      <c r="A122" t="s">
        <v>42</v>
      </c>
      <c r="B122" s="6">
        <v>0.6</v>
      </c>
      <c r="C122" s="6">
        <v>0.4</v>
      </c>
      <c r="D122" s="6">
        <v>2008</v>
      </c>
      <c r="E122" s="8">
        <f t="shared" si="2"/>
        <v>1.0526315789473684</v>
      </c>
      <c r="F122" s="6">
        <f t="shared" si="3"/>
        <v>0.93023255813953498</v>
      </c>
      <c r="G122" s="6">
        <v>0.43</v>
      </c>
      <c r="H122" s="2">
        <v>57.3</v>
      </c>
      <c r="I122" s="2">
        <v>59.5</v>
      </c>
    </row>
    <row r="123" spans="1:9" x14ac:dyDescent="0.2">
      <c r="A123" t="s">
        <v>19</v>
      </c>
      <c r="B123" s="6">
        <v>0.55000000000000004</v>
      </c>
      <c r="C123" s="6">
        <v>0.45</v>
      </c>
      <c r="D123" s="6">
        <v>2008</v>
      </c>
      <c r="E123" s="8">
        <f t="shared" si="2"/>
        <v>0.96491228070175439</v>
      </c>
      <c r="F123" s="6">
        <f t="shared" si="3"/>
        <v>1.0465116279069768</v>
      </c>
      <c r="G123" s="6">
        <v>0.43</v>
      </c>
      <c r="H123" s="2">
        <v>45.4</v>
      </c>
      <c r="I123" s="2">
        <v>41.2</v>
      </c>
    </row>
    <row r="124" spans="1:9" x14ac:dyDescent="0.2">
      <c r="A124" t="s">
        <v>16</v>
      </c>
      <c r="B124" s="6">
        <v>0.59</v>
      </c>
      <c r="C124" s="6">
        <v>0.41</v>
      </c>
      <c r="D124" s="6">
        <v>2008</v>
      </c>
      <c r="E124" s="8">
        <f t="shared" si="2"/>
        <v>1.0350877192982455</v>
      </c>
      <c r="F124" s="6">
        <f t="shared" si="3"/>
        <v>0.95348837209302317</v>
      </c>
      <c r="G124" s="6">
        <v>0.43</v>
      </c>
      <c r="H124" s="2">
        <v>43.4</v>
      </c>
      <c r="I124" s="2">
        <v>37.1</v>
      </c>
    </row>
    <row r="125" spans="1:9" x14ac:dyDescent="0.2">
      <c r="A125" t="s">
        <v>4</v>
      </c>
      <c r="B125" s="6">
        <v>0.57999999999999996</v>
      </c>
      <c r="C125" s="6">
        <v>0.42</v>
      </c>
      <c r="D125" s="6">
        <v>2008</v>
      </c>
      <c r="E125" s="8">
        <f t="shared" si="2"/>
        <v>1.0175438596491226</v>
      </c>
      <c r="F125" s="6">
        <f t="shared" si="3"/>
        <v>0.97674418604651159</v>
      </c>
      <c r="G125" s="6">
        <v>0.43</v>
      </c>
      <c r="H125" s="2">
        <v>37.299999999999997</v>
      </c>
      <c r="I125" s="2">
        <v>36.799999999999997</v>
      </c>
    </row>
    <row r="126" spans="1:9" x14ac:dyDescent="0.2">
      <c r="A126" t="s">
        <v>33</v>
      </c>
      <c r="B126" s="6">
        <v>0.59</v>
      </c>
      <c r="C126" s="6">
        <v>0.41</v>
      </c>
      <c r="D126" s="6">
        <v>2008</v>
      </c>
      <c r="E126" s="8">
        <f t="shared" si="2"/>
        <v>1.0350877192982455</v>
      </c>
      <c r="F126" s="6">
        <f t="shared" si="3"/>
        <v>0.95348837209302317</v>
      </c>
      <c r="G126" s="6">
        <v>0.43</v>
      </c>
      <c r="H126" s="2">
        <v>48.3</v>
      </c>
      <c r="I126" s="2">
        <v>41.6</v>
      </c>
    </row>
    <row r="127" spans="1:9" x14ac:dyDescent="0.2">
      <c r="A127" t="s">
        <v>47</v>
      </c>
      <c r="B127" s="6">
        <v>0.55000000000000004</v>
      </c>
      <c r="C127" s="6">
        <v>0.45</v>
      </c>
      <c r="D127" s="6">
        <v>2008</v>
      </c>
      <c r="E127" s="8">
        <f t="shared" si="2"/>
        <v>0.96491228070175439</v>
      </c>
      <c r="F127" s="6">
        <f t="shared" si="3"/>
        <v>1.0465116279069768</v>
      </c>
      <c r="G127" s="6">
        <v>0.43</v>
      </c>
      <c r="H127" s="2">
        <v>48.2</v>
      </c>
      <c r="I127" s="2">
        <v>44.8</v>
      </c>
    </row>
    <row r="128" spans="1:9" x14ac:dyDescent="0.2">
      <c r="A128" t="s">
        <v>38</v>
      </c>
      <c r="B128" s="6">
        <v>0.55000000000000004</v>
      </c>
      <c r="C128" s="6">
        <v>0.45</v>
      </c>
      <c r="D128" s="6">
        <v>2008</v>
      </c>
      <c r="E128" s="8">
        <f t="shared" si="2"/>
        <v>0.96491228070175439</v>
      </c>
      <c r="F128" s="6">
        <f t="shared" si="3"/>
        <v>1.0465116279069768</v>
      </c>
      <c r="G128" s="6">
        <v>0.43</v>
      </c>
      <c r="H128" s="2">
        <v>59.9</v>
      </c>
      <c r="I128" s="2">
        <v>56.6</v>
      </c>
    </row>
    <row r="129" spans="1:9" x14ac:dyDescent="0.2">
      <c r="A129" t="s">
        <v>30</v>
      </c>
      <c r="B129" s="6">
        <v>0.56999999999999995</v>
      </c>
      <c r="C129" s="6">
        <v>0.43</v>
      </c>
      <c r="D129" s="6">
        <v>2008</v>
      </c>
      <c r="E129" s="8">
        <f t="shared" si="2"/>
        <v>0.99999999999999978</v>
      </c>
      <c r="F129" s="6">
        <f t="shared" si="3"/>
        <v>1</v>
      </c>
      <c r="G129" s="6">
        <v>0.43</v>
      </c>
      <c r="H129" s="2">
        <v>53.6</v>
      </c>
      <c r="I129" s="2">
        <v>50.1</v>
      </c>
    </row>
    <row r="130" spans="1:9" x14ac:dyDescent="0.2">
      <c r="A130" t="s">
        <v>32</v>
      </c>
      <c r="B130" s="6">
        <v>0.53</v>
      </c>
      <c r="C130" s="6">
        <v>0.47</v>
      </c>
      <c r="D130" s="6">
        <v>2008</v>
      </c>
      <c r="E130" s="8">
        <f t="shared" si="2"/>
        <v>0.92982456140350866</v>
      </c>
      <c r="F130" s="6">
        <f t="shared" si="3"/>
        <v>1.0930232558139534</v>
      </c>
      <c r="G130" s="6">
        <v>0.43</v>
      </c>
      <c r="H130" s="2">
        <v>60.5</v>
      </c>
      <c r="I130" s="2">
        <v>51.2</v>
      </c>
    </row>
    <row r="131" spans="1:9" x14ac:dyDescent="0.2">
      <c r="A131" t="s">
        <v>37</v>
      </c>
      <c r="B131" s="6">
        <v>0.55000000000000004</v>
      </c>
      <c r="C131" s="6">
        <v>0.45</v>
      </c>
      <c r="D131" s="6">
        <v>2008</v>
      </c>
      <c r="E131" s="8">
        <f t="shared" ref="E131:E194" si="4">B131/(1-G131)</f>
        <v>0.96491228070175439</v>
      </c>
      <c r="F131" s="6">
        <f t="shared" ref="F131:F194" si="5">C131/G131</f>
        <v>1.0465116279069768</v>
      </c>
      <c r="G131" s="6">
        <v>0.43</v>
      </c>
      <c r="H131" s="2">
        <v>66.8</v>
      </c>
      <c r="I131" s="2">
        <v>57.6</v>
      </c>
    </row>
    <row r="132" spans="1:9" x14ac:dyDescent="0.2">
      <c r="A132" t="s">
        <v>10</v>
      </c>
      <c r="B132" s="6">
        <v>0.6</v>
      </c>
      <c r="C132" s="6">
        <v>0.4</v>
      </c>
      <c r="D132" s="6">
        <v>2008</v>
      </c>
      <c r="E132" s="8">
        <f t="shared" si="4"/>
        <v>1.0526315789473684</v>
      </c>
      <c r="F132" s="6">
        <f t="shared" si="5"/>
        <v>0.93023255813953498</v>
      </c>
      <c r="G132" s="6">
        <v>0.43</v>
      </c>
      <c r="H132" s="2">
        <v>51.3</v>
      </c>
      <c r="I132" s="2">
        <v>43.6</v>
      </c>
    </row>
    <row r="133" spans="1:9" x14ac:dyDescent="0.2">
      <c r="A133" t="s">
        <v>3</v>
      </c>
      <c r="B133" s="6">
        <v>0.54</v>
      </c>
      <c r="C133" s="6">
        <v>0.46</v>
      </c>
      <c r="D133" s="6">
        <v>2008</v>
      </c>
      <c r="E133" s="8">
        <f t="shared" si="4"/>
        <v>0.94736842105263153</v>
      </c>
      <c r="F133" s="6">
        <f t="shared" si="5"/>
        <v>1.0697674418604652</v>
      </c>
      <c r="G133" s="6">
        <v>0.43</v>
      </c>
      <c r="H133" s="2">
        <v>49.3</v>
      </c>
      <c r="I133" s="2">
        <v>45.1</v>
      </c>
    </row>
    <row r="134" spans="1:9" x14ac:dyDescent="0.2">
      <c r="A134" t="s">
        <v>11</v>
      </c>
      <c r="B134" s="6">
        <v>0.57999999999999996</v>
      </c>
      <c r="C134" s="6">
        <v>0.42</v>
      </c>
      <c r="D134" s="6">
        <v>2008</v>
      </c>
      <c r="E134" s="8">
        <f t="shared" si="4"/>
        <v>1.0175438596491226</v>
      </c>
      <c r="F134" s="6">
        <f t="shared" si="5"/>
        <v>0.97674418604651159</v>
      </c>
      <c r="G134" s="6">
        <v>0.43</v>
      </c>
      <c r="H134" s="2">
        <v>46.6</v>
      </c>
      <c r="I134" s="2">
        <v>42.1</v>
      </c>
    </row>
    <row r="135" spans="1:9" x14ac:dyDescent="0.2">
      <c r="A135" t="s">
        <v>29</v>
      </c>
      <c r="B135" s="6">
        <v>0.59</v>
      </c>
      <c r="C135" s="6">
        <v>0.41</v>
      </c>
      <c r="D135" s="6">
        <v>2008</v>
      </c>
      <c r="E135" s="8">
        <f t="shared" si="4"/>
        <v>1.0350877192982455</v>
      </c>
      <c r="F135" s="6">
        <f t="shared" si="5"/>
        <v>0.95348837209302317</v>
      </c>
      <c r="G135" s="6">
        <v>0.43</v>
      </c>
      <c r="H135" s="2">
        <v>50.4</v>
      </c>
      <c r="I135" s="2">
        <v>42.3</v>
      </c>
    </row>
    <row r="136" spans="1:9" x14ac:dyDescent="0.2">
      <c r="A136" t="s">
        <v>26</v>
      </c>
      <c r="B136" s="6">
        <v>0.59</v>
      </c>
      <c r="C136" s="6">
        <v>0.41</v>
      </c>
      <c r="D136" s="6">
        <v>2008</v>
      </c>
      <c r="E136" s="8">
        <f t="shared" si="4"/>
        <v>1.0350877192982455</v>
      </c>
      <c r="F136" s="6">
        <f t="shared" si="5"/>
        <v>0.95348837209302317</v>
      </c>
      <c r="G136" s="6">
        <v>0.43</v>
      </c>
      <c r="H136" s="2">
        <v>40.700000000000003</v>
      </c>
      <c r="I136" s="2">
        <v>36.4</v>
      </c>
    </row>
    <row r="137" spans="1:9" x14ac:dyDescent="0.2">
      <c r="A137" t="s">
        <v>15</v>
      </c>
      <c r="B137" s="6">
        <v>0.57999999999999996</v>
      </c>
      <c r="C137" s="6">
        <v>0.42</v>
      </c>
      <c r="D137" s="6">
        <v>2008</v>
      </c>
      <c r="E137" s="8">
        <f t="shared" si="4"/>
        <v>1.0175438596491226</v>
      </c>
      <c r="F137" s="6">
        <f t="shared" si="5"/>
        <v>0.97674418604651159</v>
      </c>
      <c r="G137" s="6">
        <v>0.43</v>
      </c>
      <c r="H137" s="2">
        <v>56.2</v>
      </c>
      <c r="I137" s="2">
        <v>49.8</v>
      </c>
    </row>
    <row r="138" spans="1:9" x14ac:dyDescent="0.2">
      <c r="A138" t="s">
        <v>46</v>
      </c>
      <c r="B138" s="6">
        <v>0.5</v>
      </c>
      <c r="C138" s="6">
        <v>0.5</v>
      </c>
      <c r="D138" s="6">
        <v>2008</v>
      </c>
      <c r="E138" s="8">
        <f t="shared" si="4"/>
        <v>0.8771929824561403</v>
      </c>
      <c r="F138" s="6">
        <f t="shared" si="5"/>
        <v>1.1627906976744187</v>
      </c>
      <c r="G138" s="6">
        <v>0.43</v>
      </c>
      <c r="H138" s="2">
        <v>63.9</v>
      </c>
      <c r="I138" s="2">
        <v>54.4</v>
      </c>
    </row>
    <row r="139" spans="1:9" x14ac:dyDescent="0.2">
      <c r="A139" t="s">
        <v>1</v>
      </c>
      <c r="B139" s="6">
        <v>0.56000000000000005</v>
      </c>
      <c r="C139" s="6">
        <v>0.44</v>
      </c>
      <c r="D139" s="6">
        <v>2008</v>
      </c>
      <c r="E139" s="8">
        <f t="shared" si="4"/>
        <v>0.98245614035087714</v>
      </c>
      <c r="F139" s="6">
        <f t="shared" si="5"/>
        <v>1.0232558139534884</v>
      </c>
      <c r="G139" s="6">
        <v>0.43</v>
      </c>
      <c r="H139" s="2">
        <v>51.1</v>
      </c>
      <c r="I139" s="2">
        <v>47.7</v>
      </c>
    </row>
    <row r="140" spans="1:9" x14ac:dyDescent="0.2">
      <c r="A140" t="s">
        <v>41</v>
      </c>
      <c r="B140" s="6">
        <v>0.53</v>
      </c>
      <c r="C140" s="6">
        <v>0.47</v>
      </c>
      <c r="D140" s="6">
        <v>2008</v>
      </c>
      <c r="E140" s="8">
        <f t="shared" si="4"/>
        <v>0.92982456140350866</v>
      </c>
      <c r="F140" s="6">
        <f t="shared" si="5"/>
        <v>1.0930232558139534</v>
      </c>
      <c r="G140" s="6">
        <v>0.43</v>
      </c>
      <c r="H140" s="2">
        <v>65.599999999999994</v>
      </c>
      <c r="I140" s="2">
        <v>65.599999999999994</v>
      </c>
    </row>
    <row r="141" spans="1:9" x14ac:dyDescent="0.2">
      <c r="A141" t="s">
        <v>31</v>
      </c>
      <c r="B141" s="6">
        <v>0.57999999999999996</v>
      </c>
      <c r="C141" s="6">
        <v>0.42</v>
      </c>
      <c r="D141" s="6">
        <v>2008</v>
      </c>
      <c r="E141" s="8">
        <f t="shared" si="4"/>
        <v>1.0175438596491226</v>
      </c>
      <c r="F141" s="6">
        <f t="shared" si="5"/>
        <v>0.97674418604651159</v>
      </c>
      <c r="G141" s="6">
        <v>0.43</v>
      </c>
      <c r="H141" s="2">
        <v>47.9</v>
      </c>
      <c r="I141" s="2">
        <v>41.6</v>
      </c>
    </row>
    <row r="142" spans="1:9" x14ac:dyDescent="0.2">
      <c r="A142" t="s">
        <v>17</v>
      </c>
      <c r="B142" s="6">
        <v>0.56999999999999995</v>
      </c>
      <c r="C142" s="6">
        <v>0.43</v>
      </c>
      <c r="D142" s="6">
        <v>2008</v>
      </c>
      <c r="E142" s="8">
        <f t="shared" si="4"/>
        <v>0.99999999999999978</v>
      </c>
      <c r="F142" s="6">
        <f t="shared" si="5"/>
        <v>1</v>
      </c>
      <c r="G142" s="6">
        <v>0.43</v>
      </c>
      <c r="H142" s="2">
        <v>48.7</v>
      </c>
      <c r="I142" s="2">
        <v>44.8</v>
      </c>
    </row>
    <row r="143" spans="1:9" x14ac:dyDescent="0.2">
      <c r="A143" t="s">
        <v>7</v>
      </c>
      <c r="B143" s="6">
        <v>0.55000000000000004</v>
      </c>
      <c r="C143" s="6">
        <v>0.45</v>
      </c>
      <c r="D143" s="6">
        <v>2008</v>
      </c>
      <c r="E143" s="8">
        <f t="shared" si="4"/>
        <v>0.96491228070175439</v>
      </c>
      <c r="F143" s="6">
        <f t="shared" si="5"/>
        <v>1.0465116279069768</v>
      </c>
      <c r="G143" s="6">
        <v>0.43</v>
      </c>
      <c r="H143" s="2">
        <v>39.4</v>
      </c>
      <c r="I143" s="2">
        <v>35.799999999999997</v>
      </c>
    </row>
    <row r="144" spans="1:9" x14ac:dyDescent="0.2">
      <c r="A144" t="s">
        <v>39</v>
      </c>
      <c r="B144" s="6">
        <v>0.56000000000000005</v>
      </c>
      <c r="C144" s="6">
        <v>0.44</v>
      </c>
      <c r="D144" s="6">
        <v>2008</v>
      </c>
      <c r="E144" s="8">
        <f t="shared" si="4"/>
        <v>0.98245614035087714</v>
      </c>
      <c r="F144" s="6">
        <f t="shared" si="5"/>
        <v>1.0232558139534884</v>
      </c>
      <c r="G144" s="6">
        <v>0.43</v>
      </c>
      <c r="H144" s="2">
        <v>58.6</v>
      </c>
      <c r="I144" s="2">
        <v>54.5</v>
      </c>
    </row>
    <row r="145" spans="1:9" x14ac:dyDescent="0.2">
      <c r="A145" t="s">
        <v>43</v>
      </c>
      <c r="B145" s="6">
        <v>0.53</v>
      </c>
      <c r="C145" s="6">
        <v>0.47</v>
      </c>
      <c r="D145" s="6">
        <v>2008</v>
      </c>
      <c r="E145" s="8">
        <f t="shared" si="4"/>
        <v>0.92982456140350866</v>
      </c>
      <c r="F145" s="6">
        <f t="shared" si="5"/>
        <v>1.0930232558139534</v>
      </c>
      <c r="G145" s="6">
        <v>0.43</v>
      </c>
      <c r="H145" s="2">
        <v>60.9</v>
      </c>
      <c r="I145" s="2">
        <v>54.3</v>
      </c>
    </row>
    <row r="146" spans="1:9" x14ac:dyDescent="0.2">
      <c r="A146" t="s">
        <v>36</v>
      </c>
      <c r="B146" s="6">
        <v>0.54</v>
      </c>
      <c r="C146" s="6">
        <v>0.46</v>
      </c>
      <c r="D146" s="6">
        <v>2008</v>
      </c>
      <c r="E146" s="8">
        <f t="shared" si="4"/>
        <v>0.94736842105263153</v>
      </c>
      <c r="F146" s="6">
        <f t="shared" si="5"/>
        <v>1.0697674418604652</v>
      </c>
      <c r="G146" s="6">
        <v>0.43</v>
      </c>
      <c r="H146" s="2">
        <v>57.2</v>
      </c>
      <c r="I146" s="2">
        <v>57.6</v>
      </c>
    </row>
    <row r="147" spans="1:9" x14ac:dyDescent="0.2">
      <c r="A147" t="s">
        <v>48</v>
      </c>
      <c r="B147" s="6">
        <v>0.56999999999999995</v>
      </c>
      <c r="C147" s="6">
        <v>0.43</v>
      </c>
      <c r="D147" s="6">
        <v>2008</v>
      </c>
      <c r="E147" s="8">
        <f t="shared" si="4"/>
        <v>0.99999999999999978</v>
      </c>
      <c r="F147" s="6">
        <f t="shared" si="5"/>
        <v>1</v>
      </c>
      <c r="G147" s="6">
        <v>0.43</v>
      </c>
      <c r="H147" s="2">
        <v>61.5</v>
      </c>
      <c r="I147" s="2">
        <v>55.9</v>
      </c>
    </row>
    <row r="148" spans="1:9" x14ac:dyDescent="0.2">
      <c r="A148" t="s">
        <v>0</v>
      </c>
      <c r="B148" s="6">
        <v>0.52</v>
      </c>
      <c r="C148" s="6">
        <v>0.48</v>
      </c>
      <c r="D148" s="6">
        <v>2008</v>
      </c>
      <c r="E148" s="8">
        <f t="shared" si="4"/>
        <v>0.91228070175438591</v>
      </c>
      <c r="F148" s="6">
        <f t="shared" si="5"/>
        <v>1.1162790697674418</v>
      </c>
      <c r="G148" s="6">
        <v>0.43</v>
      </c>
      <c r="H148" s="2">
        <v>73.3</v>
      </c>
      <c r="I148" s="2">
        <v>64.5</v>
      </c>
    </row>
    <row r="149" spans="1:9" x14ac:dyDescent="0.2">
      <c r="A149" t="s">
        <v>9</v>
      </c>
      <c r="B149" s="6">
        <v>0.6</v>
      </c>
      <c r="C149" s="6">
        <v>0.4</v>
      </c>
      <c r="D149" s="6">
        <v>2008</v>
      </c>
      <c r="E149" s="8">
        <f t="shared" si="4"/>
        <v>1.0526315789473684</v>
      </c>
      <c r="F149" s="6">
        <f t="shared" si="5"/>
        <v>0.93023255813953498</v>
      </c>
      <c r="G149" s="6">
        <v>0.43</v>
      </c>
      <c r="H149" s="2">
        <v>39.700000000000003</v>
      </c>
      <c r="I149" s="2">
        <v>31.1</v>
      </c>
    </row>
    <row r="150" spans="1:9" x14ac:dyDescent="0.2">
      <c r="A150" t="s">
        <v>2</v>
      </c>
      <c r="B150" s="6">
        <v>0.59</v>
      </c>
      <c r="C150" s="6">
        <v>0.41</v>
      </c>
      <c r="D150" s="6">
        <v>2008</v>
      </c>
      <c r="E150" s="8">
        <f t="shared" si="4"/>
        <v>1.0350877192982455</v>
      </c>
      <c r="F150" s="6">
        <f t="shared" si="5"/>
        <v>0.95348837209302317</v>
      </c>
      <c r="G150" s="6">
        <v>0.43</v>
      </c>
      <c r="H150" s="2">
        <v>54.1</v>
      </c>
      <c r="I150" s="2">
        <v>46.8</v>
      </c>
    </row>
    <row r="151" spans="1:9" x14ac:dyDescent="0.2">
      <c r="A151" t="s">
        <v>40</v>
      </c>
      <c r="B151" s="6">
        <v>0.56000000000000005</v>
      </c>
      <c r="C151" s="6">
        <v>0.44</v>
      </c>
      <c r="D151" s="6">
        <v>2008</v>
      </c>
      <c r="E151" s="8">
        <f t="shared" si="4"/>
        <v>0.98245614035087714</v>
      </c>
      <c r="F151" s="6">
        <f t="shared" si="5"/>
        <v>1.0232558139534884</v>
      </c>
      <c r="G151" s="6">
        <v>0.43</v>
      </c>
      <c r="H151" s="2">
        <v>46.4</v>
      </c>
      <c r="I151" s="2">
        <v>41.2</v>
      </c>
    </row>
    <row r="152" spans="1:9" x14ac:dyDescent="0.2">
      <c r="A152" t="s">
        <v>13</v>
      </c>
      <c r="B152" s="6">
        <v>0.53</v>
      </c>
      <c r="C152" s="6">
        <v>0.47</v>
      </c>
      <c r="D152" s="6">
        <v>2008</v>
      </c>
      <c r="E152" s="8">
        <f t="shared" si="4"/>
        <v>0.92982456140350866</v>
      </c>
      <c r="F152" s="6">
        <f t="shared" si="5"/>
        <v>1.0930232558139534</v>
      </c>
      <c r="G152" s="6">
        <v>0.43</v>
      </c>
      <c r="H152" s="2">
        <v>56.5</v>
      </c>
      <c r="I152" s="2">
        <v>56.7</v>
      </c>
    </row>
    <row r="153" spans="1:9" x14ac:dyDescent="0.2">
      <c r="A153" t="s">
        <v>25</v>
      </c>
      <c r="B153" s="6">
        <v>0.59</v>
      </c>
      <c r="C153" s="6">
        <v>0.41</v>
      </c>
      <c r="D153" s="6">
        <v>2008</v>
      </c>
      <c r="E153" s="8">
        <f t="shared" si="4"/>
        <v>1.0350877192982455</v>
      </c>
      <c r="F153" s="6">
        <f t="shared" si="5"/>
        <v>0.95348837209302317</v>
      </c>
      <c r="G153" s="6">
        <v>0.43</v>
      </c>
      <c r="H153" s="2">
        <v>49.8</v>
      </c>
      <c r="I153" s="2">
        <v>42.9</v>
      </c>
    </row>
    <row r="154" spans="1:9" x14ac:dyDescent="0.2">
      <c r="A154" t="s">
        <v>45</v>
      </c>
      <c r="B154" s="6">
        <v>0.47</v>
      </c>
      <c r="C154" s="6">
        <v>0.53</v>
      </c>
      <c r="D154" s="6">
        <v>2008</v>
      </c>
      <c r="E154" s="8">
        <f t="shared" si="4"/>
        <v>0.82456140350877183</v>
      </c>
      <c r="F154" s="6">
        <f t="shared" si="5"/>
        <v>1.2325581395348839</v>
      </c>
      <c r="G154" s="6">
        <v>0.43</v>
      </c>
      <c r="H154" s="2">
        <v>70.3</v>
      </c>
      <c r="I154" s="2">
        <v>66.599999999999994</v>
      </c>
    </row>
    <row r="155" spans="1:9" x14ac:dyDescent="0.2">
      <c r="A155" t="s">
        <v>22</v>
      </c>
      <c r="B155" s="6">
        <v>0.85</v>
      </c>
      <c r="C155" s="6">
        <v>0.15</v>
      </c>
      <c r="D155" s="6">
        <v>2004</v>
      </c>
      <c r="E155" s="8">
        <f t="shared" si="4"/>
        <v>0.97701149425287359</v>
      </c>
      <c r="F155" s="6">
        <f t="shared" si="5"/>
        <v>1.1538461538461537</v>
      </c>
      <c r="G155" s="9">
        <v>0.13</v>
      </c>
      <c r="H155" s="2">
        <v>57.6</v>
      </c>
      <c r="I155" s="2">
        <v>62.9</v>
      </c>
    </row>
    <row r="156" spans="1:9" x14ac:dyDescent="0.2">
      <c r="A156" t="s">
        <v>49</v>
      </c>
      <c r="B156" s="6">
        <v>0.82</v>
      </c>
      <c r="C156" s="6">
        <v>0.18</v>
      </c>
      <c r="D156" s="6">
        <v>2004</v>
      </c>
      <c r="E156" s="8">
        <f t="shared" si="4"/>
        <v>0.94252873563218387</v>
      </c>
      <c r="F156" s="6">
        <f t="shared" si="5"/>
        <v>1.3846153846153846</v>
      </c>
      <c r="G156" s="9">
        <v>0.13</v>
      </c>
      <c r="H156" s="2">
        <v>67.900000000000006</v>
      </c>
      <c r="I156" s="2">
        <v>63.2</v>
      </c>
    </row>
    <row r="157" spans="1:9" x14ac:dyDescent="0.2">
      <c r="A157" t="s">
        <v>28</v>
      </c>
      <c r="B157" s="6">
        <v>0.92</v>
      </c>
      <c r="C157" s="6">
        <v>0.08</v>
      </c>
      <c r="D157" s="6">
        <v>2004</v>
      </c>
      <c r="E157" s="8">
        <f t="shared" si="4"/>
        <v>1.0574712643678161</v>
      </c>
      <c r="F157" s="6">
        <f t="shared" si="5"/>
        <v>0.61538461538461542</v>
      </c>
      <c r="G157" s="9">
        <v>0.13</v>
      </c>
      <c r="H157" s="2">
        <v>53.3</v>
      </c>
      <c r="I157" s="2">
        <v>55.3</v>
      </c>
    </row>
    <row r="158" spans="1:9" x14ac:dyDescent="0.2">
      <c r="A158" t="s">
        <v>35</v>
      </c>
      <c r="B158" s="6">
        <v>0.88</v>
      </c>
      <c r="C158" s="6">
        <v>0.12</v>
      </c>
      <c r="D158" s="6">
        <v>2004</v>
      </c>
      <c r="E158" s="8">
        <f t="shared" si="4"/>
        <v>1.0114942528735633</v>
      </c>
      <c r="F158" s="6">
        <f t="shared" si="5"/>
        <v>0.92307692307692302</v>
      </c>
      <c r="G158" s="9">
        <v>0.13</v>
      </c>
      <c r="H158" s="2">
        <v>52.8</v>
      </c>
      <c r="I158" s="2">
        <v>54.9</v>
      </c>
    </row>
    <row r="159" spans="1:9" x14ac:dyDescent="0.2">
      <c r="A159" t="s">
        <v>44</v>
      </c>
      <c r="B159" s="6">
        <v>0.91</v>
      </c>
      <c r="C159" s="6">
        <v>0.09</v>
      </c>
      <c r="D159" s="6">
        <v>2004</v>
      </c>
      <c r="E159" s="8">
        <f t="shared" si="4"/>
        <v>1.0459770114942528</v>
      </c>
      <c r="F159" s="6">
        <f t="shared" si="5"/>
        <v>0.69230769230769229</v>
      </c>
      <c r="G159" s="9">
        <v>0.13</v>
      </c>
      <c r="H159" s="2">
        <v>43.8</v>
      </c>
      <c r="I159" s="2">
        <v>45</v>
      </c>
    </row>
    <row r="160" spans="1:9" x14ac:dyDescent="0.2">
      <c r="A160" t="s">
        <v>12</v>
      </c>
      <c r="B160" s="6">
        <v>0.91</v>
      </c>
      <c r="C160" s="6">
        <v>0.09</v>
      </c>
      <c r="D160" s="6">
        <v>2004</v>
      </c>
      <c r="E160" s="8">
        <f t="shared" si="4"/>
        <v>1.0459770114942528</v>
      </c>
      <c r="F160" s="6">
        <f t="shared" si="5"/>
        <v>0.69230769230769229</v>
      </c>
      <c r="G160" s="9">
        <v>0.13</v>
      </c>
      <c r="H160" s="2">
        <v>54.5</v>
      </c>
      <c r="I160" s="2">
        <v>52.4</v>
      </c>
    </row>
    <row r="161" spans="1:9" x14ac:dyDescent="0.2">
      <c r="A161" t="s">
        <v>20</v>
      </c>
      <c r="B161" s="6">
        <v>0.89</v>
      </c>
      <c r="C161" s="6">
        <v>0.11</v>
      </c>
      <c r="D161" s="6">
        <v>2004</v>
      </c>
      <c r="E161" s="8">
        <f t="shared" si="4"/>
        <v>1.0229885057471264</v>
      </c>
      <c r="F161" s="6">
        <f t="shared" si="5"/>
        <v>0.84615384615384615</v>
      </c>
      <c r="G161" s="9">
        <v>0.13</v>
      </c>
      <c r="H161" s="2">
        <v>40.700000000000003</v>
      </c>
      <c r="I161" s="2">
        <v>44.7</v>
      </c>
    </row>
    <row r="162" spans="1:9" x14ac:dyDescent="0.2">
      <c r="A162" t="s">
        <v>24</v>
      </c>
      <c r="B162" s="6">
        <v>0.89</v>
      </c>
      <c r="C162" s="6">
        <v>0.11</v>
      </c>
      <c r="D162" s="6">
        <v>2004</v>
      </c>
      <c r="E162" s="8">
        <f t="shared" si="4"/>
        <v>1.0229885057471264</v>
      </c>
      <c r="F162" s="6">
        <f t="shared" si="5"/>
        <v>0.84615384615384615</v>
      </c>
      <c r="G162" s="9">
        <v>0.13</v>
      </c>
      <c r="H162" s="2">
        <v>43.3</v>
      </c>
      <c r="I162" s="2">
        <v>46.2</v>
      </c>
    </row>
    <row r="163" spans="1:9" x14ac:dyDescent="0.2">
      <c r="A163" t="s">
        <v>6</v>
      </c>
      <c r="B163" s="6">
        <v>0.9</v>
      </c>
      <c r="C163" s="6">
        <v>0.1</v>
      </c>
      <c r="D163" s="6">
        <v>2004</v>
      </c>
      <c r="E163" s="8">
        <f t="shared" si="4"/>
        <v>1.0344827586206897</v>
      </c>
      <c r="F163" s="6">
        <f t="shared" si="5"/>
        <v>0.76923076923076927</v>
      </c>
      <c r="G163" s="9">
        <v>0.13</v>
      </c>
      <c r="H163" s="2">
        <v>9.5</v>
      </c>
      <c r="I163" s="2">
        <v>9.5</v>
      </c>
    </row>
    <row r="164" spans="1:9" x14ac:dyDescent="0.2">
      <c r="A164" t="s">
        <v>14</v>
      </c>
      <c r="B164" s="6">
        <v>0.88</v>
      </c>
      <c r="C164" s="6">
        <v>0.12</v>
      </c>
      <c r="D164" s="6">
        <v>2004</v>
      </c>
      <c r="E164" s="8">
        <f t="shared" si="4"/>
        <v>1.0114942528735633</v>
      </c>
      <c r="F164" s="6">
        <f t="shared" si="5"/>
        <v>0.92307692307692302</v>
      </c>
      <c r="G164" s="9">
        <v>0.13</v>
      </c>
      <c r="H164" s="2">
        <v>50</v>
      </c>
      <c r="I164" s="2">
        <v>52.5</v>
      </c>
    </row>
    <row r="165" spans="1:9" x14ac:dyDescent="0.2">
      <c r="A165" t="s">
        <v>34</v>
      </c>
      <c r="B165" s="6">
        <v>0.88</v>
      </c>
      <c r="C165" s="6">
        <v>0.12</v>
      </c>
      <c r="D165" s="6">
        <v>2004</v>
      </c>
      <c r="E165" s="8">
        <f t="shared" si="4"/>
        <v>1.0114942528735633</v>
      </c>
      <c r="F165" s="6">
        <f t="shared" si="5"/>
        <v>0.92307692307692302</v>
      </c>
      <c r="G165" s="9">
        <v>0.13</v>
      </c>
      <c r="H165" s="2">
        <v>56</v>
      </c>
      <c r="I165" s="2">
        <v>58.4</v>
      </c>
    </row>
    <row r="166" spans="1:9" x14ac:dyDescent="0.2">
      <c r="A166" t="s">
        <v>50</v>
      </c>
      <c r="B166" s="6">
        <v>0.91</v>
      </c>
      <c r="C166" s="6">
        <v>0.09</v>
      </c>
      <c r="D166" s="6">
        <v>2004</v>
      </c>
      <c r="E166" s="8">
        <f t="shared" si="4"/>
        <v>1.0459770114942528</v>
      </c>
      <c r="F166" s="6">
        <f t="shared" si="5"/>
        <v>0.69230769230769229</v>
      </c>
      <c r="G166" s="9">
        <v>0.13</v>
      </c>
      <c r="H166" s="2">
        <v>40.200000000000003</v>
      </c>
      <c r="I166" s="2">
        <v>45.6</v>
      </c>
    </row>
    <row r="167" spans="1:9" x14ac:dyDescent="0.2">
      <c r="A167" t="s">
        <v>8</v>
      </c>
      <c r="B167" s="6">
        <v>0.85</v>
      </c>
      <c r="C167" s="6">
        <v>0.15</v>
      </c>
      <c r="D167" s="6">
        <v>2004</v>
      </c>
      <c r="E167" s="8">
        <f t="shared" si="4"/>
        <v>0.97701149425287359</v>
      </c>
      <c r="F167" s="6">
        <f t="shared" si="5"/>
        <v>1.1538461538461537</v>
      </c>
      <c r="G167" s="9">
        <v>0.13</v>
      </c>
      <c r="H167" s="2">
        <v>70.8</v>
      </c>
      <c r="I167" s="2">
        <v>69.3</v>
      </c>
    </row>
    <row r="168" spans="1:9" x14ac:dyDescent="0.2">
      <c r="A168" t="s">
        <v>27</v>
      </c>
      <c r="B168" s="6">
        <v>0.89</v>
      </c>
      <c r="C168" s="6">
        <v>0.11</v>
      </c>
      <c r="D168" s="6">
        <v>2004</v>
      </c>
      <c r="E168" s="8">
        <f t="shared" si="4"/>
        <v>1.0229885057471264</v>
      </c>
      <c r="F168" s="6">
        <f t="shared" si="5"/>
        <v>0.84615384615384615</v>
      </c>
      <c r="G168" s="9">
        <v>0.13</v>
      </c>
      <c r="H168" s="2">
        <v>43.8</v>
      </c>
      <c r="I168" s="2">
        <v>44.8</v>
      </c>
    </row>
    <row r="169" spans="1:9" x14ac:dyDescent="0.2">
      <c r="A169" t="s">
        <v>21</v>
      </c>
      <c r="B169" s="6">
        <v>0.9</v>
      </c>
      <c r="C169" s="6">
        <v>0.1</v>
      </c>
      <c r="D169" s="6">
        <v>2004</v>
      </c>
      <c r="E169" s="8">
        <f t="shared" si="4"/>
        <v>1.0344827586206897</v>
      </c>
      <c r="F169" s="6">
        <f t="shared" si="5"/>
        <v>0.76923076923076927</v>
      </c>
      <c r="G169" s="9">
        <v>0.13</v>
      </c>
      <c r="H169" s="2">
        <v>58</v>
      </c>
      <c r="I169" s="2">
        <v>60.4</v>
      </c>
    </row>
    <row r="170" spans="1:9" x14ac:dyDescent="0.2">
      <c r="A170" t="s">
        <v>5</v>
      </c>
      <c r="B170" s="6">
        <v>0.88</v>
      </c>
      <c r="C170" s="6">
        <v>0.12</v>
      </c>
      <c r="D170" s="6">
        <v>2004</v>
      </c>
      <c r="E170" s="8">
        <f t="shared" si="4"/>
        <v>1.0114942528735633</v>
      </c>
      <c r="F170" s="6">
        <f t="shared" si="5"/>
        <v>0.92307692307692302</v>
      </c>
      <c r="G170" s="9">
        <v>0.13</v>
      </c>
      <c r="H170" s="2">
        <v>49.8</v>
      </c>
      <c r="I170" s="2">
        <v>50.3</v>
      </c>
    </row>
    <row r="171" spans="1:9" x14ac:dyDescent="0.2">
      <c r="A171" t="s">
        <v>23</v>
      </c>
      <c r="B171" s="6">
        <v>0.9</v>
      </c>
      <c r="C171" s="6">
        <v>0.1</v>
      </c>
      <c r="D171" s="6">
        <v>2004</v>
      </c>
      <c r="E171" s="8">
        <f t="shared" si="4"/>
        <v>1.0344827586206897</v>
      </c>
      <c r="F171" s="6">
        <f t="shared" si="5"/>
        <v>0.76923076923076927</v>
      </c>
      <c r="G171" s="9">
        <v>0.13</v>
      </c>
      <c r="H171" s="2">
        <v>60.9</v>
      </c>
      <c r="I171" s="2">
        <v>62.9</v>
      </c>
    </row>
    <row r="172" spans="1:9" x14ac:dyDescent="0.2">
      <c r="A172" t="s">
        <v>18</v>
      </c>
      <c r="B172" s="6">
        <v>0.82</v>
      </c>
      <c r="C172" s="6">
        <v>0.18</v>
      </c>
      <c r="D172" s="6">
        <v>2004</v>
      </c>
      <c r="E172" s="8">
        <f t="shared" si="4"/>
        <v>0.94252873563218387</v>
      </c>
      <c r="F172" s="6">
        <f t="shared" si="5"/>
        <v>1.3846153846153846</v>
      </c>
      <c r="G172" s="9">
        <v>0.13</v>
      </c>
      <c r="H172" s="2">
        <v>57.7</v>
      </c>
      <c r="I172" s="2">
        <v>60</v>
      </c>
    </row>
    <row r="173" spans="1:9" x14ac:dyDescent="0.2">
      <c r="A173" t="s">
        <v>42</v>
      </c>
      <c r="B173" s="6">
        <v>0.84</v>
      </c>
      <c r="C173" s="6">
        <v>0.16</v>
      </c>
      <c r="D173" s="6">
        <v>2004</v>
      </c>
      <c r="E173" s="8">
        <f t="shared" si="4"/>
        <v>0.96551724137931028</v>
      </c>
      <c r="F173" s="6">
        <f t="shared" si="5"/>
        <v>1.2307692307692308</v>
      </c>
      <c r="G173" s="9">
        <v>0.13</v>
      </c>
      <c r="H173" s="2">
        <v>53.9</v>
      </c>
      <c r="I173" s="2">
        <v>57.3</v>
      </c>
    </row>
    <row r="174" spans="1:9" x14ac:dyDescent="0.2">
      <c r="A174" t="s">
        <v>19</v>
      </c>
      <c r="B174" s="6">
        <v>0.85</v>
      </c>
      <c r="C174" s="6">
        <v>0.15</v>
      </c>
      <c r="D174" s="6">
        <v>2004</v>
      </c>
      <c r="E174" s="8">
        <f t="shared" si="4"/>
        <v>0.97701149425287359</v>
      </c>
      <c r="F174" s="6">
        <f t="shared" si="5"/>
        <v>1.1538461538461537</v>
      </c>
      <c r="G174" s="9">
        <v>0.13</v>
      </c>
      <c r="H174" s="2">
        <v>47.3</v>
      </c>
      <c r="I174" s="2">
        <v>45.4</v>
      </c>
    </row>
    <row r="175" spans="1:9" x14ac:dyDescent="0.2">
      <c r="A175" t="s">
        <v>16</v>
      </c>
      <c r="B175" s="6">
        <v>0.91</v>
      </c>
      <c r="C175" s="6">
        <v>0.09</v>
      </c>
      <c r="D175" s="6">
        <v>2004</v>
      </c>
      <c r="E175" s="8">
        <f t="shared" si="4"/>
        <v>1.0459770114942528</v>
      </c>
      <c r="F175" s="6">
        <f t="shared" si="5"/>
        <v>0.69230769230769229</v>
      </c>
      <c r="G175" s="9">
        <v>0.13</v>
      </c>
      <c r="H175" s="2">
        <v>41.5</v>
      </c>
      <c r="I175" s="2">
        <v>43.4</v>
      </c>
    </row>
    <row r="176" spans="1:9" x14ac:dyDescent="0.2">
      <c r="A176" t="s">
        <v>4</v>
      </c>
      <c r="B176" s="6">
        <v>0.91</v>
      </c>
      <c r="C176" s="6">
        <v>0.09</v>
      </c>
      <c r="D176" s="6">
        <v>2004</v>
      </c>
      <c r="E176" s="8">
        <f t="shared" si="4"/>
        <v>1.0459770114942528</v>
      </c>
      <c r="F176" s="6">
        <f t="shared" si="5"/>
        <v>0.69230769230769229</v>
      </c>
      <c r="G176" s="9">
        <v>0.13</v>
      </c>
      <c r="H176" s="2">
        <v>35.200000000000003</v>
      </c>
      <c r="I176" s="2">
        <v>37.299999999999997</v>
      </c>
    </row>
    <row r="177" spans="1:9" x14ac:dyDescent="0.2">
      <c r="A177" t="s">
        <v>33</v>
      </c>
      <c r="B177" s="6">
        <v>0.87</v>
      </c>
      <c r="C177" s="6">
        <v>0.13</v>
      </c>
      <c r="D177" s="6">
        <v>2004</v>
      </c>
      <c r="E177" s="8">
        <f t="shared" si="4"/>
        <v>1</v>
      </c>
      <c r="F177" s="6">
        <f t="shared" si="5"/>
        <v>1</v>
      </c>
      <c r="G177" s="9">
        <v>0.13</v>
      </c>
      <c r="H177" s="2">
        <v>47.4</v>
      </c>
      <c r="I177" s="2">
        <v>48.3</v>
      </c>
    </row>
    <row r="178" spans="1:9" x14ac:dyDescent="0.2">
      <c r="A178" t="s">
        <v>47</v>
      </c>
      <c r="B178" s="6">
        <v>0.88</v>
      </c>
      <c r="C178" s="6">
        <v>0.12</v>
      </c>
      <c r="D178" s="6">
        <v>2004</v>
      </c>
      <c r="E178" s="8">
        <f t="shared" si="4"/>
        <v>1.0114942528735633</v>
      </c>
      <c r="F178" s="6">
        <f t="shared" si="5"/>
        <v>0.92307692307692302</v>
      </c>
      <c r="G178" s="9">
        <v>0.13</v>
      </c>
      <c r="H178" s="2">
        <v>48.7</v>
      </c>
      <c r="I178" s="2">
        <v>48.2</v>
      </c>
    </row>
    <row r="179" spans="1:9" x14ac:dyDescent="0.2">
      <c r="A179" t="s">
        <v>38</v>
      </c>
      <c r="B179" s="6">
        <v>0.88</v>
      </c>
      <c r="C179" s="6">
        <v>0.12</v>
      </c>
      <c r="D179" s="6">
        <v>2004</v>
      </c>
      <c r="E179" s="8">
        <f t="shared" si="4"/>
        <v>1.0114942528735633</v>
      </c>
      <c r="F179" s="6">
        <f t="shared" si="5"/>
        <v>0.92307692307692302</v>
      </c>
      <c r="G179" s="9">
        <v>0.13</v>
      </c>
      <c r="H179" s="2">
        <v>58.6</v>
      </c>
      <c r="I179" s="2">
        <v>59.9</v>
      </c>
    </row>
    <row r="180" spans="1:9" x14ac:dyDescent="0.2">
      <c r="A180" t="s">
        <v>30</v>
      </c>
      <c r="B180" s="6">
        <v>0.87</v>
      </c>
      <c r="C180" s="6">
        <v>0.13</v>
      </c>
      <c r="D180" s="6">
        <v>2004</v>
      </c>
      <c r="E180" s="8">
        <f t="shared" si="4"/>
        <v>1</v>
      </c>
      <c r="F180" s="6">
        <f t="shared" si="5"/>
        <v>1</v>
      </c>
      <c r="G180" s="9">
        <v>0.13</v>
      </c>
      <c r="H180" s="2">
        <v>51.7</v>
      </c>
      <c r="I180" s="2">
        <v>53.6</v>
      </c>
    </row>
    <row r="181" spans="1:9" x14ac:dyDescent="0.2">
      <c r="A181" t="s">
        <v>32</v>
      </c>
      <c r="B181" s="6">
        <v>0.91</v>
      </c>
      <c r="C181" s="6">
        <v>0.09</v>
      </c>
      <c r="D181" s="6">
        <v>2004</v>
      </c>
      <c r="E181" s="8">
        <f t="shared" si="4"/>
        <v>1.0459770114942528</v>
      </c>
      <c r="F181" s="6">
        <f t="shared" si="5"/>
        <v>0.69230769230769229</v>
      </c>
      <c r="G181" s="9">
        <v>0.13</v>
      </c>
      <c r="H181" s="2">
        <v>63.7</v>
      </c>
      <c r="I181" s="2">
        <v>60.5</v>
      </c>
    </row>
    <row r="182" spans="1:9" x14ac:dyDescent="0.2">
      <c r="A182" t="s">
        <v>37</v>
      </c>
      <c r="B182" s="6">
        <v>0.88</v>
      </c>
      <c r="C182" s="6">
        <v>0.12</v>
      </c>
      <c r="D182" s="6">
        <v>2004</v>
      </c>
      <c r="E182" s="8">
        <f t="shared" si="4"/>
        <v>1.0114942528735633</v>
      </c>
      <c r="F182" s="6">
        <f t="shared" si="5"/>
        <v>0.92307692307692302</v>
      </c>
      <c r="G182" s="9">
        <v>0.13</v>
      </c>
      <c r="H182" s="2">
        <v>65.2</v>
      </c>
      <c r="I182" s="2">
        <v>66.8</v>
      </c>
    </row>
    <row r="183" spans="1:9" x14ac:dyDescent="0.2">
      <c r="A183" t="s">
        <v>10</v>
      </c>
      <c r="B183" s="6">
        <v>0.92</v>
      </c>
      <c r="C183" s="6">
        <v>0.08</v>
      </c>
      <c r="D183" s="6">
        <v>2004</v>
      </c>
      <c r="E183" s="8">
        <f t="shared" si="4"/>
        <v>1.0574712643678161</v>
      </c>
      <c r="F183" s="6">
        <f t="shared" si="5"/>
        <v>0.61538461538461542</v>
      </c>
      <c r="G183" s="9">
        <v>0.13</v>
      </c>
      <c r="H183" s="2">
        <v>51.9</v>
      </c>
      <c r="I183" s="2">
        <v>51.3</v>
      </c>
    </row>
    <row r="184" spans="1:9" x14ac:dyDescent="0.2">
      <c r="A184" t="s">
        <v>3</v>
      </c>
      <c r="B184" s="6">
        <v>0.88</v>
      </c>
      <c r="C184" s="6">
        <v>0.12</v>
      </c>
      <c r="D184" s="6">
        <v>2004</v>
      </c>
      <c r="E184" s="8">
        <f t="shared" si="4"/>
        <v>1.0114942528735633</v>
      </c>
      <c r="F184" s="6">
        <f t="shared" si="5"/>
        <v>0.92307692307692302</v>
      </c>
      <c r="G184" s="9">
        <v>0.13</v>
      </c>
      <c r="H184" s="2">
        <v>50.7</v>
      </c>
      <c r="I184" s="2">
        <v>49.3</v>
      </c>
    </row>
    <row r="185" spans="1:9" x14ac:dyDescent="0.2">
      <c r="A185" t="s">
        <v>11</v>
      </c>
      <c r="B185" s="6">
        <v>0.91</v>
      </c>
      <c r="C185" s="6">
        <v>0.09</v>
      </c>
      <c r="D185" s="6">
        <v>2004</v>
      </c>
      <c r="E185" s="8">
        <f t="shared" si="4"/>
        <v>1.0459770114942528</v>
      </c>
      <c r="F185" s="6">
        <f t="shared" si="5"/>
        <v>0.69230769230769229</v>
      </c>
      <c r="G185" s="9">
        <v>0.13</v>
      </c>
      <c r="H185" s="2">
        <v>41.8</v>
      </c>
      <c r="I185" s="2">
        <v>46.6</v>
      </c>
    </row>
    <row r="186" spans="1:9" x14ac:dyDescent="0.2">
      <c r="A186" t="s">
        <v>29</v>
      </c>
      <c r="B186" s="6">
        <v>0.91</v>
      </c>
      <c r="C186" s="6">
        <v>0.09</v>
      </c>
      <c r="D186" s="6">
        <v>2004</v>
      </c>
      <c r="E186" s="8">
        <f t="shared" si="4"/>
        <v>1.0459770114942528</v>
      </c>
      <c r="F186" s="6">
        <f t="shared" si="5"/>
        <v>0.69230769230769229</v>
      </c>
      <c r="G186" s="9">
        <v>0.13</v>
      </c>
      <c r="H186" s="2">
        <v>50</v>
      </c>
      <c r="I186" s="2">
        <v>50.4</v>
      </c>
    </row>
    <row r="187" spans="1:9" x14ac:dyDescent="0.2">
      <c r="A187" t="s">
        <v>26</v>
      </c>
      <c r="B187" s="6">
        <v>0.89</v>
      </c>
      <c r="C187" s="6">
        <v>0.11</v>
      </c>
      <c r="D187" s="6">
        <v>2004</v>
      </c>
      <c r="E187" s="8">
        <f t="shared" si="4"/>
        <v>1.0229885057471264</v>
      </c>
      <c r="F187" s="6">
        <f t="shared" si="5"/>
        <v>0.84615384615384615</v>
      </c>
      <c r="G187" s="9">
        <v>0.13</v>
      </c>
      <c r="H187" s="2">
        <v>36.9</v>
      </c>
      <c r="I187" s="2">
        <v>40.700000000000003</v>
      </c>
    </row>
    <row r="188" spans="1:9" x14ac:dyDescent="0.2">
      <c r="A188" t="s">
        <v>15</v>
      </c>
      <c r="B188" s="6">
        <v>0.87</v>
      </c>
      <c r="C188" s="6">
        <v>0.13</v>
      </c>
      <c r="D188" s="6">
        <v>2004</v>
      </c>
      <c r="E188" s="8">
        <f t="shared" si="4"/>
        <v>1</v>
      </c>
      <c r="F188" s="6">
        <f t="shared" si="5"/>
        <v>1</v>
      </c>
      <c r="G188" s="9">
        <v>0.13</v>
      </c>
      <c r="H188" s="2">
        <v>56.5</v>
      </c>
      <c r="I188" s="2">
        <v>56.2</v>
      </c>
    </row>
    <row r="189" spans="1:9" x14ac:dyDescent="0.2">
      <c r="A189" t="s">
        <v>46</v>
      </c>
      <c r="B189" s="6">
        <v>0.84</v>
      </c>
      <c r="C189" s="6">
        <v>0.16</v>
      </c>
      <c r="D189" s="6">
        <v>2004</v>
      </c>
      <c r="E189" s="8">
        <f t="shared" si="4"/>
        <v>0.96551724137931028</v>
      </c>
      <c r="F189" s="6">
        <f t="shared" si="5"/>
        <v>1.2307692307692308</v>
      </c>
      <c r="G189" s="9">
        <v>0.13</v>
      </c>
      <c r="H189" s="2">
        <v>64.7</v>
      </c>
      <c r="I189" s="2">
        <v>63.9</v>
      </c>
    </row>
    <row r="190" spans="1:9" x14ac:dyDescent="0.2">
      <c r="A190" t="s">
        <v>1</v>
      </c>
      <c r="B190" s="6">
        <v>0.88</v>
      </c>
      <c r="C190" s="6">
        <v>0.12</v>
      </c>
      <c r="D190" s="6">
        <v>2004</v>
      </c>
      <c r="E190" s="8">
        <f t="shared" si="4"/>
        <v>1.0114942528735633</v>
      </c>
      <c r="F190" s="6">
        <f t="shared" si="5"/>
        <v>0.92307692307692302</v>
      </c>
      <c r="G190" s="9">
        <v>0.13</v>
      </c>
      <c r="H190" s="2">
        <v>51.8</v>
      </c>
      <c r="I190" s="2">
        <v>51.1</v>
      </c>
    </row>
    <row r="191" spans="1:9" x14ac:dyDescent="0.2">
      <c r="A191" t="s">
        <v>41</v>
      </c>
      <c r="B191" s="6">
        <v>0.85</v>
      </c>
      <c r="C191" s="6">
        <v>0.15</v>
      </c>
      <c r="D191" s="6">
        <v>2004</v>
      </c>
      <c r="E191" s="8">
        <f t="shared" si="4"/>
        <v>0.97701149425287359</v>
      </c>
      <c r="F191" s="6">
        <f t="shared" si="5"/>
        <v>1.1538461538461537</v>
      </c>
      <c r="G191" s="9">
        <v>0.13</v>
      </c>
      <c r="H191" s="2">
        <v>61.1</v>
      </c>
      <c r="I191" s="2">
        <v>65.599999999999994</v>
      </c>
    </row>
    <row r="192" spans="1:9" x14ac:dyDescent="0.2">
      <c r="A192" t="s">
        <v>31</v>
      </c>
      <c r="B192" s="6">
        <v>0.91</v>
      </c>
      <c r="C192" s="6">
        <v>0.09</v>
      </c>
      <c r="D192" s="6">
        <v>2004</v>
      </c>
      <c r="E192" s="8">
        <f t="shared" si="4"/>
        <v>1.0459770114942528</v>
      </c>
      <c r="F192" s="6">
        <f t="shared" si="5"/>
        <v>0.69230769230769229</v>
      </c>
      <c r="G192" s="9">
        <v>0.13</v>
      </c>
      <c r="H192" s="2">
        <v>49.8</v>
      </c>
      <c r="I192" s="2">
        <v>47.9</v>
      </c>
    </row>
    <row r="193" spans="1:9" x14ac:dyDescent="0.2">
      <c r="A193" t="s">
        <v>17</v>
      </c>
      <c r="B193" s="6">
        <v>0.9</v>
      </c>
      <c r="C193" s="6">
        <v>0.1</v>
      </c>
      <c r="D193" s="6">
        <v>2004</v>
      </c>
      <c r="E193" s="8">
        <f t="shared" si="4"/>
        <v>1.0344827586206897</v>
      </c>
      <c r="F193" s="6">
        <f t="shared" si="5"/>
        <v>0.76923076923076927</v>
      </c>
      <c r="G193" s="9">
        <v>0.13</v>
      </c>
      <c r="H193" s="2">
        <v>47.9</v>
      </c>
      <c r="I193" s="2">
        <v>48.7</v>
      </c>
    </row>
    <row r="194" spans="1:9" x14ac:dyDescent="0.2">
      <c r="A194" t="s">
        <v>7</v>
      </c>
      <c r="B194" s="6">
        <v>0.89</v>
      </c>
      <c r="C194" s="6">
        <v>0.11</v>
      </c>
      <c r="D194" s="6">
        <v>2004</v>
      </c>
      <c r="E194" s="8">
        <f t="shared" si="4"/>
        <v>1.0229885057471264</v>
      </c>
      <c r="F194" s="6">
        <f t="shared" si="5"/>
        <v>0.84615384615384615</v>
      </c>
      <c r="G194" s="9">
        <v>0.13</v>
      </c>
      <c r="H194" s="2">
        <v>34.4</v>
      </c>
      <c r="I194" s="2">
        <v>39.4</v>
      </c>
    </row>
    <row r="195" spans="1:9" x14ac:dyDescent="0.2">
      <c r="A195" t="s">
        <v>39</v>
      </c>
      <c r="B195" s="6">
        <v>0.88</v>
      </c>
      <c r="C195" s="6">
        <v>0.12</v>
      </c>
      <c r="D195" s="6">
        <v>2004</v>
      </c>
      <c r="E195" s="8">
        <f t="shared" ref="E195:E205" si="6">B195/(1-G195)</f>
        <v>1.0114942528735633</v>
      </c>
      <c r="F195" s="6">
        <f t="shared" ref="F195:F205" si="7">C195/G195</f>
        <v>0.92307692307692302</v>
      </c>
      <c r="G195" s="9">
        <v>0.13</v>
      </c>
      <c r="H195" s="2">
        <v>58.1</v>
      </c>
      <c r="I195" s="2">
        <v>58.6</v>
      </c>
    </row>
    <row r="196" spans="1:9" x14ac:dyDescent="0.2">
      <c r="A196" t="s">
        <v>43</v>
      </c>
      <c r="B196" s="6">
        <v>0.8</v>
      </c>
      <c r="C196" s="6">
        <v>0.2</v>
      </c>
      <c r="D196" s="6">
        <v>2004</v>
      </c>
      <c r="E196" s="8">
        <f t="shared" si="6"/>
        <v>0.91954022988505757</v>
      </c>
      <c r="F196" s="6">
        <f t="shared" si="7"/>
        <v>1.5384615384615385</v>
      </c>
      <c r="G196" s="9">
        <v>0.13</v>
      </c>
      <c r="H196" s="2">
        <v>61.6</v>
      </c>
      <c r="I196" s="2">
        <v>60.9</v>
      </c>
    </row>
    <row r="197" spans="1:9" x14ac:dyDescent="0.2">
      <c r="A197" t="s">
        <v>36</v>
      </c>
      <c r="B197" s="6">
        <v>0.86</v>
      </c>
      <c r="C197" s="6">
        <v>0.14000000000000001</v>
      </c>
      <c r="D197" s="6">
        <v>2004</v>
      </c>
      <c r="E197" s="8">
        <f t="shared" si="6"/>
        <v>0.9885057471264368</v>
      </c>
      <c r="F197" s="6">
        <f t="shared" si="7"/>
        <v>1.0769230769230771</v>
      </c>
      <c r="G197" s="9">
        <v>0.13</v>
      </c>
      <c r="H197" s="2">
        <v>52</v>
      </c>
      <c r="I197" s="2">
        <v>57.2</v>
      </c>
    </row>
    <row r="198" spans="1:9" x14ac:dyDescent="0.2">
      <c r="A198" t="s">
        <v>48</v>
      </c>
      <c r="B198" s="6">
        <v>0.87</v>
      </c>
      <c r="C198" s="6">
        <v>0.13</v>
      </c>
      <c r="D198" s="6">
        <v>2004</v>
      </c>
      <c r="E198" s="8">
        <f t="shared" si="6"/>
        <v>1</v>
      </c>
      <c r="F198" s="6">
        <f t="shared" si="7"/>
        <v>1</v>
      </c>
      <c r="G198" s="9">
        <v>0.13</v>
      </c>
      <c r="H198" s="2">
        <v>61</v>
      </c>
      <c r="I198" s="2">
        <v>61.5</v>
      </c>
    </row>
    <row r="199" spans="1:9" x14ac:dyDescent="0.2">
      <c r="A199" t="s">
        <v>0</v>
      </c>
      <c r="B199" s="6">
        <v>0.9</v>
      </c>
      <c r="C199" s="6">
        <v>0.1</v>
      </c>
      <c r="D199" s="6">
        <v>2004</v>
      </c>
      <c r="E199" s="8">
        <f t="shared" si="6"/>
        <v>1.0344827586206897</v>
      </c>
      <c r="F199" s="6">
        <f t="shared" si="7"/>
        <v>0.76923076923076927</v>
      </c>
      <c r="G199" s="9">
        <v>0.13</v>
      </c>
      <c r="H199" s="2">
        <v>71.7</v>
      </c>
      <c r="I199" s="2">
        <v>73.3</v>
      </c>
    </row>
    <row r="200" spans="1:9" x14ac:dyDescent="0.2">
      <c r="A200" t="s">
        <v>9</v>
      </c>
      <c r="B200" s="6">
        <v>0.94</v>
      </c>
      <c r="C200" s="6">
        <v>0.06</v>
      </c>
      <c r="D200" s="6">
        <v>2004</v>
      </c>
      <c r="E200" s="8">
        <f t="shared" si="6"/>
        <v>1.0804597701149425</v>
      </c>
      <c r="F200" s="6">
        <f t="shared" si="7"/>
        <v>0.46153846153846151</v>
      </c>
      <c r="G200" s="9">
        <v>0.13</v>
      </c>
      <c r="H200" s="2">
        <v>44.6</v>
      </c>
      <c r="I200" s="2">
        <v>39.700000000000003</v>
      </c>
    </row>
    <row r="201" spans="1:9" x14ac:dyDescent="0.2">
      <c r="A201" t="s">
        <v>2</v>
      </c>
      <c r="B201" s="6">
        <v>0.91</v>
      </c>
      <c r="C201" s="6">
        <v>0.09</v>
      </c>
      <c r="D201" s="6">
        <v>2004</v>
      </c>
      <c r="E201" s="8">
        <f t="shared" si="6"/>
        <v>1.0459770114942528</v>
      </c>
      <c r="F201" s="6">
        <f t="shared" si="7"/>
        <v>0.69230769230769229</v>
      </c>
      <c r="G201" s="9">
        <v>0.13</v>
      </c>
      <c r="H201" s="2">
        <v>54.1</v>
      </c>
      <c r="I201" s="2">
        <v>54.1</v>
      </c>
    </row>
    <row r="202" spans="1:9" x14ac:dyDescent="0.2">
      <c r="A202" t="s">
        <v>40</v>
      </c>
      <c r="B202" s="6">
        <v>0.89</v>
      </c>
      <c r="C202" s="6">
        <v>0.11</v>
      </c>
      <c r="D202" s="6">
        <v>2004</v>
      </c>
      <c r="E202" s="8">
        <f t="shared" si="6"/>
        <v>1.0229885057471264</v>
      </c>
      <c r="F202" s="6">
        <f t="shared" si="7"/>
        <v>0.84615384615384615</v>
      </c>
      <c r="G202" s="9">
        <v>0.13</v>
      </c>
      <c r="H202" s="2">
        <v>47.1</v>
      </c>
      <c r="I202" s="2">
        <v>46.4</v>
      </c>
    </row>
    <row r="203" spans="1:9" x14ac:dyDescent="0.2">
      <c r="A203" t="s">
        <v>13</v>
      </c>
      <c r="B203" s="6">
        <v>0.88</v>
      </c>
      <c r="C203" s="6">
        <v>0.12</v>
      </c>
      <c r="D203" s="6">
        <v>2004</v>
      </c>
      <c r="E203" s="8">
        <f t="shared" si="6"/>
        <v>1.0114942528735633</v>
      </c>
      <c r="F203" s="6">
        <f t="shared" si="7"/>
        <v>0.92307692307692302</v>
      </c>
      <c r="G203" s="9">
        <v>0.13</v>
      </c>
      <c r="H203" s="2">
        <v>53.2</v>
      </c>
      <c r="I203" s="2">
        <v>56.5</v>
      </c>
    </row>
    <row r="204" spans="1:9" x14ac:dyDescent="0.2">
      <c r="A204" t="s">
        <v>25</v>
      </c>
      <c r="B204" s="6">
        <v>0.89</v>
      </c>
      <c r="C204" s="6">
        <v>0.11</v>
      </c>
      <c r="D204" s="6">
        <v>2004</v>
      </c>
      <c r="E204" s="8">
        <f t="shared" si="6"/>
        <v>1.0229885057471264</v>
      </c>
      <c r="F204" s="6">
        <f t="shared" si="7"/>
        <v>0.84615384615384615</v>
      </c>
      <c r="G204" s="9">
        <v>0.13</v>
      </c>
      <c r="H204" s="2">
        <v>49.9</v>
      </c>
      <c r="I204" s="2">
        <v>49.8</v>
      </c>
    </row>
    <row r="205" spans="1:9" x14ac:dyDescent="0.2">
      <c r="A205" t="s">
        <v>45</v>
      </c>
      <c r="B205" s="6">
        <v>0.93</v>
      </c>
      <c r="C205" s="6">
        <v>7.0000000000000007E-2</v>
      </c>
      <c r="D205" s="6">
        <v>2004</v>
      </c>
      <c r="E205" s="8">
        <f t="shared" si="6"/>
        <v>1.0689655172413794</v>
      </c>
      <c r="F205" s="6">
        <f t="shared" si="7"/>
        <v>0.53846153846153855</v>
      </c>
      <c r="G205" s="9">
        <v>0.13</v>
      </c>
      <c r="H205" s="2">
        <v>71</v>
      </c>
      <c r="I205" s="2">
        <v>70.3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5"/>
  <sheetViews>
    <sheetView workbookViewId="0">
      <selection activeCell="C3" sqref="C3"/>
    </sheetView>
  </sheetViews>
  <sheetFormatPr baseColWidth="10" defaultRowHeight="16" x14ac:dyDescent="0.2"/>
  <cols>
    <col min="1" max="1" width="11.1640625" bestFit="1" customWidth="1"/>
  </cols>
  <sheetData>
    <row r="1" spans="1:3" x14ac:dyDescent="0.2">
      <c r="A1" s="6">
        <v>2004</v>
      </c>
      <c r="B1" t="s">
        <v>64</v>
      </c>
      <c r="C1" t="s">
        <v>65</v>
      </c>
    </row>
    <row r="2" spans="1:3" x14ac:dyDescent="0.2">
      <c r="A2" s="4" t="s">
        <v>52</v>
      </c>
      <c r="B2" s="5">
        <v>0.88</v>
      </c>
      <c r="C2" s="5">
        <v>0.12</v>
      </c>
    </row>
    <row r="3" spans="1:3" x14ac:dyDescent="0.2">
      <c r="A3" s="4" t="s">
        <v>51</v>
      </c>
      <c r="B3" s="5">
        <v>0.87</v>
      </c>
      <c r="C3" s="5">
        <v>0.13</v>
      </c>
    </row>
    <row r="5" spans="1:3" x14ac:dyDescent="0.2">
      <c r="A5">
        <v>2008</v>
      </c>
      <c r="B5" t="s">
        <v>66</v>
      </c>
      <c r="C5" t="s">
        <v>67</v>
      </c>
    </row>
    <row r="6" spans="1:3" x14ac:dyDescent="0.2">
      <c r="A6" t="s">
        <v>52</v>
      </c>
      <c r="B6" s="1">
        <f>AVERAGE('obama-mccain-2008'!B2:B52)</f>
        <v>0.56274509803921557</v>
      </c>
      <c r="C6" s="1">
        <f>AVERAGE('obama-mccain-2008'!C2:C52)</f>
        <v>0.43725490196078431</v>
      </c>
    </row>
    <row r="7" spans="1:3" x14ac:dyDescent="0.2">
      <c r="A7" t="s">
        <v>51</v>
      </c>
      <c r="B7" s="1">
        <v>0.56999999999999995</v>
      </c>
      <c r="C7" s="1">
        <v>0.43</v>
      </c>
    </row>
    <row r="9" spans="1:3" x14ac:dyDescent="0.2">
      <c r="A9">
        <v>2012</v>
      </c>
      <c r="B9" t="s">
        <v>66</v>
      </c>
      <c r="C9" t="s">
        <v>68</v>
      </c>
    </row>
    <row r="10" spans="1:3" x14ac:dyDescent="0.2">
      <c r="A10" s="4" t="s">
        <v>52</v>
      </c>
      <c r="B10" s="5">
        <v>0.24</v>
      </c>
      <c r="C10" s="5">
        <v>0.76</v>
      </c>
    </row>
    <row r="11" spans="1:3" x14ac:dyDescent="0.2">
      <c r="A11" s="4" t="s">
        <v>51</v>
      </c>
      <c r="B11" s="5">
        <v>0.24</v>
      </c>
      <c r="C11" s="5">
        <v>0.76</v>
      </c>
    </row>
    <row r="13" spans="1:3" x14ac:dyDescent="0.2">
      <c r="A13">
        <v>2016</v>
      </c>
      <c r="B13" t="s">
        <v>69</v>
      </c>
      <c r="C13" t="s">
        <v>70</v>
      </c>
    </row>
    <row r="14" spans="1:3" x14ac:dyDescent="0.2">
      <c r="A14" t="s">
        <v>52</v>
      </c>
      <c r="B14" s="1">
        <v>0.44</v>
      </c>
      <c r="C14" s="1">
        <v>0.56000000000000005</v>
      </c>
    </row>
    <row r="15" spans="1:3" x14ac:dyDescent="0.2">
      <c r="A15" t="s">
        <v>51</v>
      </c>
      <c r="B15" s="1">
        <v>0.43</v>
      </c>
      <c r="C15" s="1">
        <v>0.56999999999999995</v>
      </c>
    </row>
  </sheetData>
  <pageMargins left="0.7" right="0.7" top="0.75" bottom="0.75" header="0.3" footer="0.3"/>
</worksheet>
</file>